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3CD98A1-26D0-4AB4-98FD-79D6852B8561}" xr6:coauthVersionLast="47" xr6:coauthVersionMax="47" xr10:uidLastSave="{00000000-0000-0000-0000-000000000000}"/>
  <bookViews>
    <workbookView xWindow="-108" yWindow="-108" windowWidth="23256" windowHeight="12456" xr2:uid="{E829F5E3-DD91-49AB-A0DE-C913FC75D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5" i="1" l="1"/>
  <c r="E134" i="1"/>
  <c r="E132" i="1" a="1"/>
  <c r="E132" i="1"/>
  <c r="E131" i="1"/>
  <c r="E130" i="1"/>
  <c r="E117" i="1"/>
  <c r="E115" i="1"/>
  <c r="D71" i="1"/>
  <c r="D59" i="1"/>
  <c r="D48" i="1"/>
  <c r="D31" i="1" a="1"/>
  <c r="D31" i="1" s="1"/>
  <c r="E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<sst xmlns="http://schemas.openxmlformats.org/spreadsheetml/2006/main" count="65" uniqueCount="62">
  <si>
    <t>Days</t>
  </si>
  <si>
    <t>Monday</t>
  </si>
  <si>
    <t>Tuesday</t>
  </si>
  <si>
    <t>Wednesday</t>
  </si>
  <si>
    <t>Thursday</t>
  </si>
  <si>
    <t>Friday</t>
  </si>
  <si>
    <t>Saturday</t>
  </si>
  <si>
    <t>Sunday</t>
  </si>
  <si>
    <t>Muffins Sold</t>
  </si>
  <si>
    <t>We can use mean to represent weekly sales value here as it balances the daily Variations.</t>
  </si>
  <si>
    <t>Mean</t>
  </si>
  <si>
    <t>Sum of all muffins divided by 7</t>
  </si>
  <si>
    <t>• 12+15+14+16+18+20+19 = 114 divided by 7 = 16.29.</t>
  </si>
  <si>
    <t>• This suggests that the class performed above average, showing relatively good results.</t>
  </si>
  <si>
    <r>
      <t>Q2: Mean in Real Life (Easy)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A teacher records the marks of her students in a short quiz: [12, 15, 14, 16, 18, 20, 19].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What is the mean score, and what does it tell us about the class’s performance?</t>
    </r>
    <r>
      <rPr>
        <b/>
        <sz val="11"/>
        <color theme="1"/>
        <rFont val="MS Gothic"/>
        <family val="3"/>
      </rPr>
      <t> </t>
    </r>
  </si>
  <si>
    <r>
      <t>Q1: Understanding Central Tendency (Easy)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A bakery tracks the daily sales of muffins (in dozens) over a week: [10, 12, 11, 15, 14, 13, 12].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What is the most representative value of their weekly sales, and why?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</t>
    </r>
  </si>
  <si>
    <r>
      <t>ð</t>
    </r>
    <r>
      <rPr>
        <sz val="12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The Mean Score here will be -</t>
    </r>
  </si>
  <si>
    <r>
      <t>Q3: Mode in Real Life (Easy)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A store records the shoe sizes sold in one day: [7, 8, 9, 8, 8, 10, 7, 9].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What is the mode, and why is this information useful for the store manager?</t>
    </r>
  </si>
  <si>
    <t>Shoe Sizes</t>
  </si>
  <si>
    <t>Mode:-</t>
  </si>
  <si>
    <t>This helps the store Manager understand the most common daily Sales figure, which is useful for stocking and planning purposes.</t>
  </si>
  <si>
    <r>
      <t>Q4: Median in Real Life (Medium)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A car dealer notes the prices of used cars: [$8,000, $9,500, $10,200, $11,000, $50,000].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</si>
  <si>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Why is the median a better measure than the mean in this case? Calculate the median. </t>
  </si>
  <si>
    <t>The median is a better measure here than the mean because it is not affected by the extreme values like $50,000 which would skew the mean upwards.</t>
  </si>
  <si>
    <t>Car Prices</t>
  </si>
  <si>
    <t>Median:-</t>
  </si>
  <si>
    <r>
      <t>Q5: Dispersion Introduction (Medium)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A student times how long it takes to finish a puzzle each day: [25, 30, 27, 35, 40].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</si>
  <si>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What does the range tell us about the variation in the student’s puzzle-solving time? 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</t>
    </r>
  </si>
  <si>
    <t>Time Taken</t>
  </si>
  <si>
    <t>Range is calculated by subtracting the smallest value from the largest value:</t>
  </si>
  <si>
    <t>A Range of 15 indicates that the students puzzle-solving times vary by up to 15 minutes between the fastest and slowest solver</t>
  </si>
  <si>
    <r>
      <t>Q6: Range in Action (Medium)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A farmer records the weekly weight of harvested apples (kg): [100, 105, 98, 110, 120].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</si>
  <si>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Find the range. How can this help the farmer in planning his packaging? 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</t>
    </r>
  </si>
  <si>
    <t>Weights</t>
  </si>
  <si>
    <t>The range of 22 kg helps the farmer anticipate the variation in yield and plan storage and market supply effectively.</t>
  </si>
  <si>
    <r>
      <t>Q7: Variance for Decision-Making (Medium)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Two delivery companies track delivery delays (in minutes). </t>
    </r>
  </si>
  <si>
    <t xml:space="preserve">Company A: variance = 6 </t>
  </si>
  <si>
    <r>
      <t>Company B: variance = 15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</t>
    </r>
  </si>
  <si>
    <t>Which company is more consistent, and why?</t>
  </si>
  <si>
    <t>Company A has a variance of 6 minutes while Company B has a variance of 15 minutes, indicating that Company A is more consistent. Lower Variance means the delivery times are closer to the average and less spread out, making their performance more predictable.</t>
  </si>
  <si>
    <t>A finance student compares the daily price fluctuations of two cryptocurrencies.</t>
  </si>
  <si>
    <t>Which coin is riskier to invest in, and why?</t>
  </si>
  <si>
    <t>• Coin A: standard deviation = $30</t>
  </si>
  <si>
    <t xml:space="preserve">• Coin B: standard deviation = $120 </t>
  </si>
  <si>
    <t>Coin B, with a Standard Deviation of $120, is riskier because a higher standard deviation indicates greater variability in daily price fluctuations. Coin A's smaller Standard Deviation of $30 suggests more stable and predictable price movements.</t>
  </si>
  <si>
    <r>
      <t>Q8: Standard Deviation in Context (Hard)</t>
    </r>
    <r>
      <rPr>
        <b/>
        <sz val="12"/>
        <color theme="1"/>
        <rFont val="MS Gothic"/>
        <family val="3"/>
      </rPr>
      <t> </t>
    </r>
    <r>
      <rPr>
        <b/>
        <sz val="12"/>
        <color theme="1"/>
        <rFont val="Calibri"/>
        <family val="2"/>
        <scheme val="minor"/>
      </rPr>
      <t xml:space="preserve"> </t>
    </r>
  </si>
  <si>
    <t>A family records their monthly electricity usage (in kWh): [400, 420, 390, 450, 410].</t>
  </si>
  <si>
    <t>Find the mean and standard deviation. What do these values together tell you about the family’s energy use pattern?</t>
  </si>
  <si>
    <r>
      <t>Q9: Combining Measures (Hard)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</t>
    </r>
  </si>
  <si>
    <t>Electricity Usage</t>
  </si>
  <si>
    <t>Mean =</t>
  </si>
  <si>
    <t>Standard Deviation =</t>
  </si>
  <si>
    <t>These values indicates the family's energy use is fairly consistent, with only small variations from month to month.</t>
  </si>
  <si>
    <t>Find the mean, median, mode, range, and standard deviation. What insights can these measures provide about the player’s scoring performance?</t>
  </si>
  <si>
    <r>
      <t>Q10: Practical Application (Hard)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</t>
    </r>
  </si>
  <si>
    <r>
      <t>A basketball player’s points in 8 games are recorded: [15, 18, 20, 22, 25, 17, 19, 21].</t>
    </r>
    <r>
      <rPr>
        <b/>
        <sz val="11"/>
        <color theme="1"/>
        <rFont val="MS Gothic"/>
        <family val="3"/>
      </rPr>
      <t> </t>
    </r>
    <r>
      <rPr>
        <b/>
        <sz val="11"/>
        <color theme="1"/>
        <rFont val="Calibri"/>
        <family val="2"/>
        <scheme val="minor"/>
      </rPr>
      <t xml:space="preserve"> </t>
    </r>
  </si>
  <si>
    <t>Points:</t>
  </si>
  <si>
    <t>Median =</t>
  </si>
  <si>
    <t>Mode =</t>
  </si>
  <si>
    <t>Mode is not available here as all the points are recorded only a single time</t>
  </si>
  <si>
    <t>Range =</t>
  </si>
  <si>
    <t>These Values indicate that the scores are fairly consistent and cluster close to the Average with Moderate Variation.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</si>
</sst>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MS Gothic"/>
      <family val="3"/>
    </font>
    <font>
      <sz val="12"/>
      <color theme="1"/>
      <name val="Wingdings"/>
      <charset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MS Gothic"/>
      <family val="3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3" fontId="0" fillId="2" borderId="0" xfId="0" applyNumberForma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1" fillId="3" borderId="0" xfId="0" applyFont="1" applyFill="1"/>
    <xf numFmtId="0" fontId="7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wrapText="1"/>
    </xf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165B-9393-4826-BC42-22D78D334AF0}">
  <dimension ref="B2:K137"/>
  <sheetViews>
    <sheetView tabSelected="1" workbookViewId="0">
      <selection activeCell="P133" sqref="P133"/>
    </sheetView>
  </sheetViews>
  <sheetFormatPr defaultRowHeight="14.4" x14ac:dyDescent="0.3"/>
  <cols>
    <col min="2" max="2" width="10.44140625" bestFit="1" customWidth="1"/>
    <col min="3" max="3" width="11.109375" bestFit="1" customWidth="1"/>
    <col min="4" max="4" width="10.44140625" customWidth="1"/>
    <col min="5" max="5" width="10.5546875" bestFit="1" customWidth="1"/>
  </cols>
  <sheetData>
    <row r="2" spans="2:11" x14ac:dyDescent="0.3">
      <c r="B2" s="4" t="s">
        <v>15</v>
      </c>
      <c r="C2" s="4"/>
      <c r="D2" s="4"/>
      <c r="E2" s="4"/>
      <c r="F2" s="4"/>
      <c r="G2" s="4"/>
      <c r="H2" s="4"/>
      <c r="I2" s="4"/>
      <c r="J2" s="4"/>
      <c r="K2" s="4"/>
    </row>
    <row r="3" spans="2:11" x14ac:dyDescent="0.3">
      <c r="B3" s="4"/>
      <c r="C3" s="4"/>
      <c r="D3" s="4"/>
      <c r="E3" s="4"/>
      <c r="F3" s="4"/>
      <c r="G3" s="4"/>
      <c r="H3" s="4"/>
      <c r="I3" s="4"/>
      <c r="J3" s="4"/>
      <c r="K3" s="4"/>
    </row>
    <row r="4" spans="2:11" x14ac:dyDescent="0.3">
      <c r="B4" s="4"/>
      <c r="C4" s="4"/>
      <c r="D4" s="4"/>
      <c r="E4" s="4"/>
      <c r="F4" s="4"/>
      <c r="G4" s="4"/>
      <c r="H4" s="4"/>
      <c r="I4" s="4"/>
      <c r="J4" s="4"/>
      <c r="K4" s="4"/>
    </row>
    <row r="6" spans="2:11" x14ac:dyDescent="0.3">
      <c r="B6" s="2" t="s">
        <v>0</v>
      </c>
      <c r="C6" s="2" t="s">
        <v>8</v>
      </c>
      <c r="D6" s="2"/>
      <c r="E6" s="2"/>
      <c r="F6" s="2"/>
      <c r="G6" s="2"/>
      <c r="H6" s="2"/>
      <c r="I6" s="2"/>
      <c r="J6" s="2"/>
      <c r="K6" s="2"/>
    </row>
    <row r="7" spans="2:11" x14ac:dyDescent="0.3">
      <c r="B7" s="2" t="s">
        <v>1</v>
      </c>
      <c r="C7" s="2">
        <v>10</v>
      </c>
      <c r="D7" s="2"/>
      <c r="E7" s="2" t="s">
        <v>10</v>
      </c>
      <c r="F7" s="2"/>
      <c r="G7" s="2" t="s">
        <v>11</v>
      </c>
      <c r="H7" s="2"/>
      <c r="I7" s="2"/>
      <c r="J7" s="2"/>
      <c r="K7" s="2"/>
    </row>
    <row r="8" spans="2:11" x14ac:dyDescent="0.3">
      <c r="B8" s="2" t="s">
        <v>2</v>
      </c>
      <c r="C8" s="2">
        <v>12</v>
      </c>
      <c r="D8" s="2"/>
      <c r="E8" s="2">
        <f>SUM(C7:C13)/7</f>
        <v>12.428571428571429</v>
      </c>
      <c r="F8" s="2"/>
      <c r="G8" s="2"/>
      <c r="H8" s="2"/>
      <c r="I8" s="2"/>
      <c r="J8" s="2"/>
      <c r="K8" s="2"/>
    </row>
    <row r="9" spans="2:11" x14ac:dyDescent="0.3">
      <c r="B9" s="2" t="s">
        <v>3</v>
      </c>
      <c r="C9" s="2">
        <v>11</v>
      </c>
      <c r="D9" s="2"/>
      <c r="E9" s="2"/>
      <c r="F9" s="2"/>
      <c r="G9" s="2"/>
      <c r="H9" s="2"/>
      <c r="I9" s="2"/>
      <c r="J9" s="2"/>
      <c r="K9" s="2"/>
    </row>
    <row r="10" spans="2:11" x14ac:dyDescent="0.3">
      <c r="B10" s="2" t="s">
        <v>4</v>
      </c>
      <c r="C10" s="2">
        <v>15</v>
      </c>
      <c r="D10" s="2"/>
      <c r="E10" s="2"/>
      <c r="F10" s="2"/>
      <c r="G10" s="2"/>
      <c r="H10" s="2"/>
      <c r="I10" s="2"/>
      <c r="J10" s="2"/>
      <c r="K10" s="2"/>
    </row>
    <row r="11" spans="2:11" x14ac:dyDescent="0.3">
      <c r="B11" s="2" t="s">
        <v>5</v>
      </c>
      <c r="C11" s="2">
        <v>14</v>
      </c>
      <c r="D11" s="2"/>
      <c r="E11" s="3" t="s">
        <v>9</v>
      </c>
      <c r="F11" s="3"/>
      <c r="G11" s="3"/>
      <c r="H11" s="3"/>
      <c r="I11" s="3"/>
      <c r="J11" s="3"/>
      <c r="K11" s="3"/>
    </row>
    <row r="12" spans="2:11" x14ac:dyDescent="0.3">
      <c r="B12" s="2" t="s">
        <v>6</v>
      </c>
      <c r="C12" s="2">
        <v>13</v>
      </c>
      <c r="D12" s="2"/>
      <c r="E12" s="3"/>
      <c r="F12" s="3"/>
      <c r="G12" s="3"/>
      <c r="H12" s="3"/>
      <c r="I12" s="3"/>
      <c r="J12" s="3"/>
      <c r="K12" s="3"/>
    </row>
    <row r="13" spans="2:11" x14ac:dyDescent="0.3">
      <c r="B13" s="2" t="s">
        <v>7</v>
      </c>
      <c r="C13" s="2">
        <v>12</v>
      </c>
      <c r="D13" s="2"/>
      <c r="E13" s="3"/>
      <c r="F13" s="3"/>
      <c r="G13" s="3"/>
      <c r="H13" s="3"/>
      <c r="I13" s="3"/>
      <c r="J13" s="3"/>
      <c r="K13" s="3"/>
    </row>
    <row r="16" spans="2:11" ht="14.4" customHeight="1" x14ac:dyDescent="0.3">
      <c r="B16" s="4" t="s">
        <v>14</v>
      </c>
      <c r="C16" s="4"/>
      <c r="D16" s="4"/>
      <c r="E16" s="4"/>
      <c r="F16" s="4"/>
      <c r="G16" s="4"/>
      <c r="H16" s="4"/>
      <c r="I16" s="4"/>
      <c r="J16" s="4"/>
      <c r="K16" s="4"/>
    </row>
    <row r="17" spans="2:11" x14ac:dyDescent="0.3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 x14ac:dyDescent="0.3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x14ac:dyDescent="0.3">
      <c r="B20" s="1"/>
    </row>
    <row r="21" spans="2:11" ht="15.6" x14ac:dyDescent="0.3">
      <c r="B21" s="5" t="s">
        <v>16</v>
      </c>
      <c r="C21" s="5"/>
      <c r="D21" s="5"/>
      <c r="E21" s="5"/>
      <c r="F21" s="5"/>
      <c r="G21" s="5"/>
      <c r="H21" s="5"/>
      <c r="I21" s="5"/>
      <c r="J21" s="5"/>
      <c r="K21" s="5"/>
    </row>
    <row r="22" spans="2:11" ht="15.6" x14ac:dyDescent="0.3">
      <c r="B22" s="6" t="s">
        <v>12</v>
      </c>
      <c r="C22" s="6"/>
      <c r="D22" s="6"/>
      <c r="E22" s="6"/>
      <c r="F22" s="6"/>
      <c r="G22" s="6"/>
      <c r="H22" s="6"/>
      <c r="I22" s="6"/>
      <c r="J22" s="6"/>
      <c r="K22" s="6"/>
    </row>
    <row r="23" spans="2:11" ht="15.6" x14ac:dyDescent="0.3">
      <c r="B23" s="6" t="s">
        <v>13</v>
      </c>
      <c r="C23" s="6"/>
      <c r="D23" s="6"/>
      <c r="E23" s="6"/>
      <c r="F23" s="6"/>
      <c r="G23" s="6"/>
      <c r="H23" s="6"/>
      <c r="I23" s="6"/>
      <c r="J23" s="6"/>
      <c r="K23" s="6"/>
    </row>
    <row r="26" spans="2:11" x14ac:dyDescent="0.3">
      <c r="B26" s="4" t="s">
        <v>17</v>
      </c>
      <c r="C26" s="4"/>
      <c r="D26" s="4"/>
      <c r="E26" s="4"/>
      <c r="F26" s="4"/>
      <c r="G26" s="4"/>
      <c r="H26" s="4"/>
      <c r="I26" s="4"/>
      <c r="J26" s="4"/>
      <c r="K26" s="4"/>
    </row>
    <row r="27" spans="2:11" x14ac:dyDescent="0.3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2:11" x14ac:dyDescent="0.3">
      <c r="B28" s="4"/>
      <c r="C28" s="4"/>
      <c r="D28" s="4"/>
      <c r="E28" s="4"/>
      <c r="F28" s="4"/>
      <c r="G28" s="4"/>
      <c r="H28" s="4"/>
      <c r="I28" s="4"/>
      <c r="J28" s="4"/>
      <c r="K28" s="4"/>
    </row>
    <row r="30" spans="2:11" x14ac:dyDescent="0.3">
      <c r="B30" s="7" t="s">
        <v>18</v>
      </c>
      <c r="C30" s="7"/>
      <c r="D30" s="7" t="s">
        <v>19</v>
      </c>
      <c r="E30" s="2"/>
      <c r="F30" s="2"/>
      <c r="G30" s="2"/>
      <c r="H30" s="2"/>
      <c r="I30" s="2"/>
      <c r="J30" s="2"/>
      <c r="K30" s="2"/>
    </row>
    <row r="31" spans="2:11" x14ac:dyDescent="0.3">
      <c r="B31" s="2">
        <v>7</v>
      </c>
      <c r="C31" s="2"/>
      <c r="D31" s="2" cm="1">
        <f t="array" ref="D31">_xlfn.MODE.MULT(B31:B38)</f>
        <v>8</v>
      </c>
      <c r="E31" s="2"/>
      <c r="F31" s="2"/>
      <c r="G31" s="2"/>
      <c r="H31" s="2"/>
      <c r="I31" s="2"/>
      <c r="J31" s="2"/>
      <c r="K31" s="2"/>
    </row>
    <row r="32" spans="2:11" x14ac:dyDescent="0.3">
      <c r="B32" s="2">
        <v>8</v>
      </c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>
        <v>9</v>
      </c>
      <c r="C33" s="2"/>
      <c r="D33" s="3" t="s">
        <v>20</v>
      </c>
      <c r="E33" s="3"/>
      <c r="F33" s="3"/>
      <c r="G33" s="3"/>
      <c r="H33" s="3"/>
      <c r="I33" s="3"/>
      <c r="J33" s="3"/>
      <c r="K33" s="3"/>
    </row>
    <row r="34" spans="2:11" x14ac:dyDescent="0.3">
      <c r="B34" s="2">
        <v>8</v>
      </c>
      <c r="C34" s="2"/>
      <c r="D34" s="3"/>
      <c r="E34" s="3"/>
      <c r="F34" s="3"/>
      <c r="G34" s="3"/>
      <c r="H34" s="3"/>
      <c r="I34" s="3"/>
      <c r="J34" s="3"/>
      <c r="K34" s="3"/>
    </row>
    <row r="35" spans="2:11" x14ac:dyDescent="0.3">
      <c r="B35" s="2">
        <v>8</v>
      </c>
      <c r="C35" s="2"/>
      <c r="D35" s="3"/>
      <c r="E35" s="3"/>
      <c r="F35" s="3"/>
      <c r="G35" s="3"/>
      <c r="H35" s="3"/>
      <c r="I35" s="3"/>
      <c r="J35" s="3"/>
      <c r="K35" s="3"/>
    </row>
    <row r="36" spans="2:11" x14ac:dyDescent="0.3">
      <c r="B36" s="2">
        <v>10</v>
      </c>
      <c r="C36" s="2"/>
      <c r="D36" s="3"/>
      <c r="E36" s="3"/>
      <c r="F36" s="3"/>
      <c r="G36" s="3"/>
      <c r="H36" s="3"/>
      <c r="I36" s="3"/>
      <c r="J36" s="3"/>
      <c r="K36" s="3"/>
    </row>
    <row r="37" spans="2:11" x14ac:dyDescent="0.3">
      <c r="B37" s="2">
        <v>7</v>
      </c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>
        <v>9</v>
      </c>
      <c r="C38" s="2"/>
      <c r="D38" s="2"/>
      <c r="E38" s="2"/>
      <c r="F38" s="2"/>
      <c r="G38" s="2"/>
      <c r="H38" s="2"/>
      <c r="I38" s="2"/>
      <c r="J38" s="2"/>
      <c r="K38" s="2"/>
    </row>
    <row r="41" spans="2:11" x14ac:dyDescent="0.3">
      <c r="B41" s="4" t="s">
        <v>21</v>
      </c>
      <c r="C41" s="4"/>
      <c r="D41" s="4"/>
      <c r="E41" s="4"/>
      <c r="F41" s="4"/>
      <c r="G41" s="4"/>
      <c r="H41" s="4"/>
      <c r="I41" s="4"/>
      <c r="J41" s="4"/>
      <c r="K41" s="4"/>
    </row>
    <row r="42" spans="2:11" x14ac:dyDescent="0.3"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2:11" x14ac:dyDescent="0.3">
      <c r="B43" s="8" t="s">
        <v>22</v>
      </c>
      <c r="C43" s="8"/>
      <c r="D43" s="8"/>
      <c r="E43" s="8"/>
      <c r="F43" s="8"/>
      <c r="G43" s="8"/>
      <c r="H43" s="8"/>
      <c r="I43" s="8"/>
      <c r="J43" s="8"/>
      <c r="K43" s="8"/>
    </row>
    <row r="45" spans="2:11" x14ac:dyDescent="0.3">
      <c r="B45" s="7" t="s">
        <v>24</v>
      </c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9">
        <v>8000</v>
      </c>
      <c r="C46" s="2"/>
      <c r="D46" s="2"/>
      <c r="E46" s="3" t="s">
        <v>23</v>
      </c>
      <c r="F46" s="3"/>
      <c r="G46" s="3"/>
      <c r="H46" s="3"/>
      <c r="I46" s="3"/>
      <c r="J46" s="3"/>
      <c r="K46" s="3"/>
    </row>
    <row r="47" spans="2:11" x14ac:dyDescent="0.3">
      <c r="B47" s="9">
        <v>9500</v>
      </c>
      <c r="C47" s="2"/>
      <c r="D47" s="7" t="s">
        <v>25</v>
      </c>
      <c r="E47" s="3"/>
      <c r="F47" s="3"/>
      <c r="G47" s="3"/>
      <c r="H47" s="3"/>
      <c r="I47" s="3"/>
      <c r="J47" s="3"/>
      <c r="K47" s="3"/>
    </row>
    <row r="48" spans="2:11" x14ac:dyDescent="0.3">
      <c r="B48" s="9">
        <v>10200</v>
      </c>
      <c r="C48" s="2"/>
      <c r="D48" s="9">
        <f>MEDIAN(B46:B50)</f>
        <v>10200</v>
      </c>
      <c r="E48" s="3"/>
      <c r="F48" s="3"/>
      <c r="G48" s="3"/>
      <c r="H48" s="3"/>
      <c r="I48" s="3"/>
      <c r="J48" s="3"/>
      <c r="K48" s="3"/>
    </row>
    <row r="49" spans="2:11" x14ac:dyDescent="0.3">
      <c r="B49" s="9">
        <v>11000</v>
      </c>
      <c r="C49" s="2"/>
      <c r="D49" s="2"/>
      <c r="E49" s="3"/>
      <c r="F49" s="3"/>
      <c r="G49" s="3"/>
      <c r="H49" s="3"/>
      <c r="I49" s="3"/>
      <c r="J49" s="3"/>
      <c r="K49" s="3"/>
    </row>
    <row r="50" spans="2:11" x14ac:dyDescent="0.3">
      <c r="B50" s="9">
        <v>50000</v>
      </c>
      <c r="C50" s="2"/>
      <c r="D50" s="2"/>
      <c r="E50" s="2"/>
      <c r="F50" s="2"/>
      <c r="G50" s="2"/>
      <c r="H50" s="2"/>
      <c r="I50" s="2"/>
      <c r="J50" s="2"/>
      <c r="K50" s="2"/>
    </row>
    <row r="53" spans="2:11" x14ac:dyDescent="0.3">
      <c r="B53" s="4" t="s">
        <v>26</v>
      </c>
      <c r="C53" s="4"/>
      <c r="D53" s="4"/>
      <c r="E53" s="4"/>
      <c r="F53" s="4"/>
      <c r="G53" s="4"/>
      <c r="H53" s="4"/>
      <c r="I53" s="4"/>
      <c r="J53" s="4"/>
      <c r="K53" s="4"/>
    </row>
    <row r="54" spans="2:11" x14ac:dyDescent="0.3"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2:11" x14ac:dyDescent="0.3">
      <c r="B55" s="8" t="s">
        <v>27</v>
      </c>
      <c r="C55" s="8"/>
      <c r="D55" s="8"/>
      <c r="E55" s="8"/>
      <c r="F55" s="8"/>
      <c r="G55" s="8"/>
      <c r="H55" s="8"/>
      <c r="I55" s="8"/>
      <c r="J55" s="8"/>
      <c r="K55" s="8"/>
    </row>
    <row r="57" spans="2:11" x14ac:dyDescent="0.3">
      <c r="B57" s="7" t="s">
        <v>28</v>
      </c>
      <c r="C57" s="2"/>
      <c r="D57" s="2"/>
      <c r="E57" s="2"/>
      <c r="F57" s="2"/>
      <c r="G57" s="2"/>
      <c r="H57" s="2"/>
      <c r="I57" s="2"/>
      <c r="J57" s="2"/>
      <c r="K57" s="2"/>
    </row>
    <row r="58" spans="2:11" x14ac:dyDescent="0.3">
      <c r="B58" s="2">
        <v>25</v>
      </c>
      <c r="C58" s="2"/>
      <c r="D58" s="10" t="s">
        <v>29</v>
      </c>
      <c r="E58" s="10"/>
      <c r="F58" s="10"/>
      <c r="G58" s="10"/>
      <c r="H58" s="10"/>
      <c r="I58" s="10"/>
      <c r="J58" s="10"/>
      <c r="K58" s="10"/>
    </row>
    <row r="59" spans="2:11" x14ac:dyDescent="0.3">
      <c r="B59" s="2">
        <v>27</v>
      </c>
      <c r="C59" s="2"/>
      <c r="D59" s="2">
        <f>B62-B58</f>
        <v>15</v>
      </c>
      <c r="E59" s="2"/>
      <c r="F59" s="2"/>
      <c r="G59" s="2"/>
      <c r="H59" s="2"/>
      <c r="I59" s="2"/>
      <c r="J59" s="2"/>
      <c r="K59" s="2"/>
    </row>
    <row r="60" spans="2:11" x14ac:dyDescent="0.3">
      <c r="B60" s="2">
        <v>30</v>
      </c>
      <c r="C60" s="2"/>
      <c r="D60" s="3" t="s">
        <v>30</v>
      </c>
      <c r="E60" s="3"/>
      <c r="F60" s="3"/>
      <c r="G60" s="3"/>
      <c r="H60" s="3"/>
      <c r="I60" s="3"/>
      <c r="J60" s="3"/>
      <c r="K60" s="3"/>
    </row>
    <row r="61" spans="2:11" x14ac:dyDescent="0.3">
      <c r="B61" s="2">
        <v>35</v>
      </c>
      <c r="C61" s="2"/>
      <c r="D61" s="3"/>
      <c r="E61" s="3"/>
      <c r="F61" s="3"/>
      <c r="G61" s="3"/>
      <c r="H61" s="3"/>
      <c r="I61" s="3"/>
      <c r="J61" s="3"/>
      <c r="K61" s="3"/>
    </row>
    <row r="62" spans="2:11" x14ac:dyDescent="0.3">
      <c r="B62" s="2">
        <v>40</v>
      </c>
      <c r="C62" s="2"/>
      <c r="D62" s="3"/>
      <c r="E62" s="3"/>
      <c r="F62" s="3"/>
      <c r="G62" s="3"/>
      <c r="H62" s="3"/>
      <c r="I62" s="3"/>
      <c r="J62" s="3"/>
      <c r="K62" s="3"/>
    </row>
    <row r="65" spans="2:11" x14ac:dyDescent="0.3">
      <c r="B65" s="4" t="s">
        <v>31</v>
      </c>
      <c r="C65" s="4"/>
      <c r="D65" s="4"/>
      <c r="E65" s="4"/>
      <c r="F65" s="4"/>
      <c r="G65" s="4"/>
      <c r="H65" s="4"/>
      <c r="I65" s="4"/>
      <c r="J65" s="4"/>
      <c r="K65" s="4"/>
    </row>
    <row r="66" spans="2:11" x14ac:dyDescent="0.3"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2:11" x14ac:dyDescent="0.3">
      <c r="B67" s="8" t="s">
        <v>32</v>
      </c>
      <c r="C67" s="8"/>
      <c r="D67" s="8"/>
      <c r="E67" s="8"/>
      <c r="F67" s="8"/>
      <c r="G67" s="8"/>
      <c r="H67" s="8"/>
      <c r="I67" s="8"/>
      <c r="J67" s="8"/>
      <c r="K67" s="8"/>
    </row>
    <row r="69" spans="2:11" x14ac:dyDescent="0.3">
      <c r="B69" s="7" t="s">
        <v>33</v>
      </c>
      <c r="C69" s="2"/>
      <c r="D69" s="2"/>
      <c r="E69" s="2"/>
      <c r="F69" s="2"/>
      <c r="G69" s="2"/>
      <c r="H69" s="2"/>
      <c r="I69" s="2"/>
      <c r="J69" s="2"/>
      <c r="K69" s="2"/>
    </row>
    <row r="70" spans="2:11" x14ac:dyDescent="0.3">
      <c r="B70" s="2">
        <v>98</v>
      </c>
      <c r="C70" s="2"/>
      <c r="D70" s="10" t="s">
        <v>29</v>
      </c>
      <c r="E70" s="10"/>
      <c r="F70" s="10"/>
      <c r="G70" s="10"/>
      <c r="H70" s="10"/>
      <c r="I70" s="10"/>
      <c r="J70" s="10"/>
      <c r="K70" s="10"/>
    </row>
    <row r="71" spans="2:11" x14ac:dyDescent="0.3">
      <c r="B71" s="2">
        <v>100</v>
      </c>
      <c r="C71" s="2"/>
      <c r="D71" s="2">
        <f>B74-B70</f>
        <v>22</v>
      </c>
      <c r="E71" s="2"/>
      <c r="F71" s="2"/>
      <c r="G71" s="2"/>
      <c r="H71" s="2"/>
      <c r="I71" s="2"/>
      <c r="J71" s="2"/>
      <c r="K71" s="2"/>
    </row>
    <row r="72" spans="2:11" x14ac:dyDescent="0.3">
      <c r="B72" s="2">
        <v>105</v>
      </c>
      <c r="C72" s="2"/>
      <c r="D72" s="2"/>
      <c r="E72" s="2"/>
      <c r="F72" s="2"/>
      <c r="G72" s="2"/>
      <c r="H72" s="2"/>
      <c r="I72" s="2"/>
      <c r="J72" s="2"/>
      <c r="K72" s="2"/>
    </row>
    <row r="73" spans="2:11" x14ac:dyDescent="0.3">
      <c r="B73" s="2">
        <v>110</v>
      </c>
      <c r="C73" s="2"/>
      <c r="D73" s="11" t="s">
        <v>34</v>
      </c>
      <c r="E73" s="11"/>
      <c r="F73" s="11"/>
      <c r="G73" s="11"/>
      <c r="H73" s="11"/>
      <c r="I73" s="11"/>
      <c r="J73" s="11"/>
      <c r="K73" s="11"/>
    </row>
    <row r="74" spans="2:11" x14ac:dyDescent="0.3">
      <c r="B74" s="2">
        <v>120</v>
      </c>
      <c r="C74" s="2"/>
      <c r="D74" s="11"/>
      <c r="E74" s="11"/>
      <c r="F74" s="11"/>
      <c r="G74" s="11"/>
      <c r="H74" s="11"/>
      <c r="I74" s="11"/>
      <c r="J74" s="11"/>
      <c r="K74" s="11"/>
    </row>
    <row r="77" spans="2:11" x14ac:dyDescent="0.3">
      <c r="B77" s="8" t="s">
        <v>35</v>
      </c>
      <c r="C77" s="8"/>
      <c r="D77" s="8"/>
      <c r="E77" s="8"/>
      <c r="F77" s="8"/>
      <c r="G77" s="8"/>
      <c r="H77" s="8"/>
      <c r="I77" s="8"/>
      <c r="J77" s="8"/>
      <c r="K77" s="8"/>
    </row>
    <row r="78" spans="2:11" x14ac:dyDescent="0.3"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2:11" x14ac:dyDescent="0.3">
      <c r="B79" s="8" t="s">
        <v>36</v>
      </c>
      <c r="C79" s="8"/>
      <c r="D79" s="8"/>
      <c r="E79" s="12"/>
      <c r="F79" s="12"/>
      <c r="G79" s="12"/>
      <c r="H79" s="12"/>
      <c r="I79" s="12"/>
      <c r="J79" s="12"/>
      <c r="K79" s="12"/>
    </row>
    <row r="80" spans="2:11" x14ac:dyDescent="0.3"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2:11" x14ac:dyDescent="0.3">
      <c r="B81" s="8" t="s">
        <v>37</v>
      </c>
      <c r="C81" s="8"/>
      <c r="D81" s="8"/>
      <c r="E81" s="12"/>
      <c r="F81" s="12"/>
      <c r="G81" s="12"/>
      <c r="H81" s="12"/>
      <c r="I81" s="12"/>
      <c r="J81" s="12"/>
      <c r="K81" s="12"/>
    </row>
    <row r="82" spans="2:11" x14ac:dyDescent="0.3"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spans="2:11" x14ac:dyDescent="0.3">
      <c r="B83" s="8" t="s">
        <v>38</v>
      </c>
      <c r="C83" s="8"/>
      <c r="D83" s="8"/>
      <c r="E83" s="8"/>
      <c r="F83" s="8"/>
      <c r="G83" s="12"/>
      <c r="H83" s="12"/>
      <c r="I83" s="12"/>
      <c r="J83" s="12"/>
      <c r="K83" s="12"/>
    </row>
    <row r="85" spans="2:11" x14ac:dyDescent="0.3">
      <c r="B85" s="3" t="s">
        <v>39</v>
      </c>
      <c r="C85" s="3"/>
      <c r="D85" s="3"/>
      <c r="E85" s="3"/>
      <c r="F85" s="3"/>
      <c r="G85" s="3"/>
      <c r="H85" s="3"/>
      <c r="I85" s="3"/>
      <c r="J85" s="3"/>
      <c r="K85" s="3"/>
    </row>
    <row r="86" spans="2:11" x14ac:dyDescent="0.3"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2:11" x14ac:dyDescent="0.3"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2:11" x14ac:dyDescent="0.3">
      <c r="B88" s="3"/>
      <c r="C88" s="3"/>
      <c r="D88" s="3"/>
      <c r="E88" s="3"/>
      <c r="F88" s="3"/>
      <c r="G88" s="3"/>
      <c r="H88" s="3"/>
      <c r="I88" s="3"/>
      <c r="J88" s="3"/>
      <c r="K88" s="3"/>
    </row>
    <row r="91" spans="2:11" ht="15.6" x14ac:dyDescent="0.3">
      <c r="B91" s="16" t="s">
        <v>45</v>
      </c>
      <c r="C91" s="16"/>
      <c r="D91" s="16"/>
      <c r="E91" s="16"/>
      <c r="F91" s="16"/>
      <c r="G91" s="12"/>
      <c r="H91" s="12"/>
      <c r="I91" s="12"/>
      <c r="J91" s="12"/>
      <c r="K91" s="12"/>
    </row>
    <row r="92" spans="2:11" x14ac:dyDescent="0.3"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spans="2:11" x14ac:dyDescent="0.3">
      <c r="B93" s="8" t="s">
        <v>40</v>
      </c>
      <c r="C93" s="8"/>
      <c r="D93" s="8"/>
      <c r="E93" s="8"/>
      <c r="F93" s="8"/>
      <c r="G93" s="8"/>
      <c r="H93" s="8"/>
      <c r="I93" s="8"/>
      <c r="J93" s="15"/>
      <c r="K93" s="15"/>
    </row>
    <row r="94" spans="2:11" x14ac:dyDescent="0.3">
      <c r="B94" s="8" t="s">
        <v>42</v>
      </c>
      <c r="C94" s="8"/>
      <c r="D94" s="8"/>
      <c r="E94" s="8"/>
      <c r="F94" s="13"/>
      <c r="G94" s="13"/>
      <c r="H94" s="13"/>
      <c r="I94" s="13"/>
      <c r="J94" s="13"/>
      <c r="K94" s="13"/>
    </row>
    <row r="95" spans="2:11" x14ac:dyDescent="0.3">
      <c r="B95" s="8" t="s">
        <v>43</v>
      </c>
      <c r="C95" s="8"/>
      <c r="D95" s="8"/>
      <c r="E95" s="8"/>
      <c r="F95" s="13"/>
      <c r="G95" s="13"/>
      <c r="H95" s="13"/>
      <c r="I95" s="13"/>
      <c r="J95" s="13"/>
      <c r="K95" s="13"/>
    </row>
    <row r="96" spans="2:11" x14ac:dyDescent="0.3">
      <c r="B96" s="13"/>
      <c r="C96" s="13"/>
      <c r="D96" s="13"/>
      <c r="E96" s="13"/>
      <c r="F96" s="13"/>
      <c r="G96" s="13"/>
      <c r="H96" s="13"/>
      <c r="I96" s="13"/>
      <c r="J96" s="13"/>
      <c r="K96" s="13"/>
    </row>
    <row r="97" spans="2:11" x14ac:dyDescent="0.3">
      <c r="B97" s="8" t="s">
        <v>41</v>
      </c>
      <c r="C97" s="8"/>
      <c r="D97" s="8"/>
      <c r="E97" s="8"/>
      <c r="F97" s="8"/>
      <c r="G97" s="13"/>
      <c r="H97" s="13"/>
      <c r="I97" s="13"/>
      <c r="J97" s="13"/>
      <c r="K97" s="13"/>
    </row>
    <row r="99" spans="2:11" x14ac:dyDescent="0.3">
      <c r="B99" s="14" t="s">
        <v>44</v>
      </c>
      <c r="C99" s="14"/>
      <c r="D99" s="14"/>
      <c r="E99" s="14"/>
      <c r="F99" s="14"/>
      <c r="G99" s="14"/>
      <c r="H99" s="14"/>
      <c r="I99" s="14"/>
      <c r="J99" s="14"/>
      <c r="K99" s="14"/>
    </row>
    <row r="100" spans="2:11" x14ac:dyDescent="0.3"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spans="2:11" x14ac:dyDescent="0.3"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spans="2:11" x14ac:dyDescent="0.3"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spans="2:11" x14ac:dyDescent="0.3"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6" spans="2:11" x14ac:dyDescent="0.3">
      <c r="B106" s="8" t="s">
        <v>48</v>
      </c>
      <c r="C106" s="8"/>
      <c r="D106" s="8"/>
      <c r="E106" s="13"/>
      <c r="F106" s="13"/>
      <c r="G106" s="13"/>
      <c r="H106" s="13"/>
      <c r="I106" s="13"/>
      <c r="J106" s="13"/>
      <c r="K106" s="13"/>
    </row>
    <row r="107" spans="2:11" x14ac:dyDescent="0.3">
      <c r="B107" s="13"/>
      <c r="C107" s="13"/>
      <c r="D107" s="13"/>
      <c r="E107" s="13"/>
      <c r="F107" s="13"/>
      <c r="G107" s="13"/>
      <c r="H107" s="13"/>
      <c r="I107" s="13"/>
      <c r="J107" s="13"/>
      <c r="K107" s="13"/>
    </row>
    <row r="108" spans="2:11" x14ac:dyDescent="0.3">
      <c r="B108" s="8" t="s">
        <v>46</v>
      </c>
      <c r="C108" s="8"/>
      <c r="D108" s="8"/>
      <c r="E108" s="8"/>
      <c r="F108" s="8"/>
      <c r="G108" s="8"/>
      <c r="H108" s="8"/>
      <c r="I108" s="8"/>
      <c r="J108" s="8"/>
      <c r="K108" s="13"/>
    </row>
    <row r="109" spans="2:11" x14ac:dyDescent="0.3"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2:11" x14ac:dyDescent="0.3">
      <c r="B110" s="4" t="s">
        <v>47</v>
      </c>
      <c r="C110" s="4"/>
      <c r="D110" s="4"/>
      <c r="E110" s="4"/>
      <c r="F110" s="4"/>
      <c r="G110" s="4"/>
      <c r="H110" s="4"/>
      <c r="I110" s="4"/>
      <c r="J110" s="4"/>
      <c r="K110" s="4"/>
    </row>
    <row r="111" spans="2:11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4" spans="2:11" x14ac:dyDescent="0.3">
      <c r="B114" s="10" t="s">
        <v>49</v>
      </c>
      <c r="C114" s="10"/>
      <c r="D114" s="2"/>
      <c r="E114" s="2"/>
      <c r="F114" s="2"/>
      <c r="G114" s="2"/>
      <c r="H114" s="2"/>
      <c r="I114" s="2"/>
      <c r="J114" s="2"/>
      <c r="K114" s="2"/>
    </row>
    <row r="115" spans="2:11" x14ac:dyDescent="0.3">
      <c r="B115" s="2">
        <v>390</v>
      </c>
      <c r="C115" s="2"/>
      <c r="D115" s="2" t="s">
        <v>50</v>
      </c>
      <c r="E115" s="7">
        <f>AVERAGE(B115:B119)</f>
        <v>414</v>
      </c>
      <c r="F115" s="3" t="s">
        <v>52</v>
      </c>
      <c r="G115" s="3"/>
      <c r="H115" s="3"/>
      <c r="I115" s="3"/>
      <c r="J115" s="3"/>
      <c r="K115" s="3"/>
    </row>
    <row r="116" spans="2:11" x14ac:dyDescent="0.3">
      <c r="B116" s="2">
        <v>400</v>
      </c>
      <c r="C116" s="2"/>
      <c r="D116" s="2"/>
      <c r="E116" s="7"/>
      <c r="F116" s="3"/>
      <c r="G116" s="3"/>
      <c r="H116" s="3"/>
      <c r="I116" s="3"/>
      <c r="J116" s="3"/>
      <c r="K116" s="3"/>
    </row>
    <row r="117" spans="2:11" x14ac:dyDescent="0.3">
      <c r="B117" s="2">
        <v>410</v>
      </c>
      <c r="C117" s="2"/>
      <c r="D117" s="17" t="s">
        <v>51</v>
      </c>
      <c r="E117" s="18">
        <f>_xlfn.STDEV.S(B115:B119)</f>
        <v>23.021728866442675</v>
      </c>
      <c r="F117" s="3"/>
      <c r="G117" s="3"/>
      <c r="H117" s="3"/>
      <c r="I117" s="3"/>
      <c r="J117" s="3"/>
      <c r="K117" s="3"/>
    </row>
    <row r="118" spans="2:11" x14ac:dyDescent="0.3">
      <c r="B118" s="2">
        <v>420</v>
      </c>
      <c r="C118" s="2"/>
      <c r="D118" s="17"/>
      <c r="E118" s="2"/>
      <c r="F118" s="3"/>
      <c r="G118" s="3"/>
      <c r="H118" s="3"/>
      <c r="I118" s="3"/>
      <c r="J118" s="3"/>
      <c r="K118" s="3"/>
    </row>
    <row r="119" spans="2:11" x14ac:dyDescent="0.3">
      <c r="B119" s="2">
        <v>450</v>
      </c>
      <c r="C119" s="2"/>
      <c r="D119" s="2"/>
      <c r="E119" s="2"/>
      <c r="F119" s="2"/>
      <c r="G119" s="2"/>
      <c r="H119" s="2"/>
      <c r="I119" s="2"/>
      <c r="J119" s="2"/>
      <c r="K119" s="2"/>
    </row>
    <row r="122" spans="2:11" x14ac:dyDescent="0.3">
      <c r="B122" s="8" t="s">
        <v>54</v>
      </c>
      <c r="C122" s="8"/>
      <c r="D122" s="8"/>
      <c r="E122" s="8"/>
      <c r="F122" s="13"/>
      <c r="G122" s="13"/>
      <c r="H122" s="13"/>
      <c r="I122" s="13"/>
      <c r="J122" s="12"/>
      <c r="K122" s="12"/>
    </row>
    <row r="123" spans="2:11" x14ac:dyDescent="0.3">
      <c r="B123" s="13"/>
      <c r="C123" s="13"/>
      <c r="D123" s="13"/>
      <c r="E123" s="13"/>
      <c r="F123" s="13"/>
      <c r="G123" s="13"/>
      <c r="H123" s="13"/>
      <c r="I123" s="13"/>
      <c r="J123" s="12"/>
      <c r="K123" s="12"/>
    </row>
    <row r="124" spans="2:11" x14ac:dyDescent="0.3">
      <c r="B124" s="8" t="s">
        <v>55</v>
      </c>
      <c r="C124" s="8"/>
      <c r="D124" s="8"/>
      <c r="E124" s="8"/>
      <c r="F124" s="8"/>
      <c r="G124" s="8"/>
      <c r="H124" s="8"/>
      <c r="I124" s="8"/>
      <c r="J124" s="12"/>
      <c r="K124" s="12"/>
    </row>
    <row r="125" spans="2:11" x14ac:dyDescent="0.3">
      <c r="B125" s="12"/>
      <c r="C125" s="12"/>
      <c r="D125" s="12"/>
      <c r="E125" s="12"/>
      <c r="F125" s="12"/>
      <c r="G125" s="12"/>
      <c r="H125" s="12"/>
      <c r="I125" s="12"/>
      <c r="J125" s="12"/>
      <c r="K125" s="12"/>
    </row>
    <row r="126" spans="2:11" x14ac:dyDescent="0.3">
      <c r="B126" s="4" t="s">
        <v>53</v>
      </c>
      <c r="C126" s="4"/>
      <c r="D126" s="4"/>
      <c r="E126" s="4"/>
      <c r="F126" s="4"/>
      <c r="G126" s="4"/>
      <c r="H126" s="4"/>
      <c r="I126" s="4"/>
      <c r="J126" s="4"/>
      <c r="K126" s="4"/>
    </row>
    <row r="127" spans="2:11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9" spans="2:11" x14ac:dyDescent="0.3">
      <c r="B129" s="7" t="s">
        <v>56</v>
      </c>
      <c r="C129" s="2"/>
      <c r="D129" s="2"/>
      <c r="E129" s="2"/>
      <c r="F129" s="2"/>
      <c r="G129" s="2"/>
      <c r="H129" s="2"/>
      <c r="I129" s="2"/>
      <c r="J129" s="2"/>
      <c r="K129" s="2"/>
    </row>
    <row r="130" spans="2:11" x14ac:dyDescent="0.3">
      <c r="B130" s="2">
        <v>15</v>
      </c>
      <c r="C130" s="2"/>
      <c r="D130" s="7" t="s">
        <v>50</v>
      </c>
      <c r="E130" s="2">
        <f>AVERAGE(B130:B137)</f>
        <v>19.625</v>
      </c>
      <c r="F130" s="2"/>
      <c r="G130" s="2"/>
      <c r="H130" s="2"/>
      <c r="I130" s="2"/>
      <c r="J130" s="2"/>
      <c r="K130" s="2"/>
    </row>
    <row r="131" spans="2:11" x14ac:dyDescent="0.3">
      <c r="B131" s="2">
        <v>17</v>
      </c>
      <c r="C131" s="2"/>
      <c r="D131" s="7" t="s">
        <v>57</v>
      </c>
      <c r="E131" s="2">
        <f>MEDIAN(B130:B137)</f>
        <v>19.5</v>
      </c>
      <c r="F131" s="2"/>
      <c r="G131" s="2"/>
      <c r="H131" s="2"/>
      <c r="I131" s="2"/>
      <c r="J131" s="2"/>
      <c r="K131" s="2"/>
    </row>
    <row r="132" spans="2:11" x14ac:dyDescent="0.3">
      <c r="B132" s="2">
        <v>18</v>
      </c>
      <c r="C132" s="2"/>
      <c r="D132" s="7" t="s">
        <v>58</v>
      </c>
      <c r="E132" s="2" t="e" cm="1">
        <f t="array" ref="E132">_xlfn.MODE.MULT(B130:B137)</f>
        <v>#N/A</v>
      </c>
      <c r="F132" s="3" t="s">
        <v>59</v>
      </c>
      <c r="G132" s="3"/>
      <c r="H132" s="3"/>
      <c r="I132" s="3"/>
      <c r="J132" s="3"/>
      <c r="K132" s="3"/>
    </row>
    <row r="133" spans="2:11" x14ac:dyDescent="0.3">
      <c r="B133" s="2">
        <v>19</v>
      </c>
      <c r="C133" s="2"/>
      <c r="D133" s="7"/>
      <c r="E133" s="2"/>
      <c r="F133" s="3"/>
      <c r="G133" s="3"/>
      <c r="H133" s="3"/>
      <c r="I133" s="3"/>
      <c r="J133" s="3"/>
      <c r="K133" s="3"/>
    </row>
    <row r="134" spans="2:11" x14ac:dyDescent="0.3">
      <c r="B134" s="2">
        <v>20</v>
      </c>
      <c r="C134" s="2"/>
      <c r="D134" s="7" t="s">
        <v>60</v>
      </c>
      <c r="E134" s="2">
        <f>B137-B130</f>
        <v>10</v>
      </c>
      <c r="F134" s="2"/>
      <c r="G134" s="2"/>
      <c r="H134" s="2"/>
      <c r="I134" s="2"/>
      <c r="J134" s="2"/>
      <c r="K134" s="2"/>
    </row>
    <row r="135" spans="2:11" x14ac:dyDescent="0.3">
      <c r="B135" s="2">
        <v>21</v>
      </c>
      <c r="C135" s="2"/>
      <c r="D135" s="11" t="s">
        <v>51</v>
      </c>
      <c r="E135" s="2">
        <f>_xlfn.STDEV.S(B130:B137)</f>
        <v>3.1139088893910452</v>
      </c>
      <c r="F135" s="3" t="s">
        <v>61</v>
      </c>
      <c r="G135" s="3"/>
      <c r="H135" s="3"/>
      <c r="I135" s="3"/>
      <c r="J135" s="3"/>
      <c r="K135" s="3"/>
    </row>
    <row r="136" spans="2:11" x14ac:dyDescent="0.3">
      <c r="B136" s="2">
        <v>22</v>
      </c>
      <c r="C136" s="2"/>
      <c r="D136" s="11"/>
      <c r="E136" s="2"/>
      <c r="F136" s="3"/>
      <c r="G136" s="3"/>
      <c r="H136" s="3"/>
      <c r="I136" s="3"/>
      <c r="J136" s="3"/>
      <c r="K136" s="3"/>
    </row>
    <row r="137" spans="2:11" x14ac:dyDescent="0.3">
      <c r="B137" s="2">
        <v>25</v>
      </c>
      <c r="C137" s="2"/>
      <c r="D137" s="2"/>
      <c r="E137" s="2"/>
      <c r="F137" s="3"/>
      <c r="G137" s="3"/>
      <c r="H137" s="3"/>
      <c r="I137" s="3"/>
      <c r="J137" s="3"/>
      <c r="K137" s="3"/>
    </row>
  </sheetData>
  <sortState xmlns:xlrd2="http://schemas.microsoft.com/office/spreadsheetml/2017/richdata2" ref="B130:B137">
    <sortCondition ref="B130:B137"/>
  </sortState>
  <mergeCells count="42">
    <mergeCell ref="F132:K133"/>
    <mergeCell ref="D135:D136"/>
    <mergeCell ref="F135:K137"/>
    <mergeCell ref="B114:C114"/>
    <mergeCell ref="D117:D118"/>
    <mergeCell ref="F115:K118"/>
    <mergeCell ref="B122:E122"/>
    <mergeCell ref="B124:I124"/>
    <mergeCell ref="B126:K127"/>
    <mergeCell ref="B97:F97"/>
    <mergeCell ref="B99:K103"/>
    <mergeCell ref="B91:F91"/>
    <mergeCell ref="B93:I93"/>
    <mergeCell ref="B110:K111"/>
    <mergeCell ref="B106:D106"/>
    <mergeCell ref="B108:J108"/>
    <mergeCell ref="B85:K88"/>
    <mergeCell ref="B94:E94"/>
    <mergeCell ref="B95:E95"/>
    <mergeCell ref="D70:K70"/>
    <mergeCell ref="D73:K74"/>
    <mergeCell ref="B77:K77"/>
    <mergeCell ref="B79:D79"/>
    <mergeCell ref="B81:D81"/>
    <mergeCell ref="B83:F83"/>
    <mergeCell ref="B53:K54"/>
    <mergeCell ref="B55:K55"/>
    <mergeCell ref="D60:K62"/>
    <mergeCell ref="D58:K58"/>
    <mergeCell ref="B65:K66"/>
    <mergeCell ref="B67:K67"/>
    <mergeCell ref="B23:K23"/>
    <mergeCell ref="B26:K28"/>
    <mergeCell ref="D33:K36"/>
    <mergeCell ref="B41:K42"/>
    <mergeCell ref="B43:K43"/>
    <mergeCell ref="E46:K49"/>
    <mergeCell ref="B16:K19"/>
    <mergeCell ref="B21:K21"/>
    <mergeCell ref="B22:K22"/>
    <mergeCell ref="B2:K4"/>
    <mergeCell ref="E11:K1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DURGATINASHINEE</dc:creator>
  <cp:lastModifiedBy>D DURGATINASHINEE</cp:lastModifiedBy>
  <dcterms:created xsi:type="dcterms:W3CDTF">2025-12-29T07:10:17Z</dcterms:created>
  <dcterms:modified xsi:type="dcterms:W3CDTF">2025-12-29T08:40:00Z</dcterms:modified>
</cp:coreProperties>
</file>