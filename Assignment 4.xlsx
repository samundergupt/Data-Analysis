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0a9675c409fbe468/Pictures/Desktop/"/>
    </mc:Choice>
  </mc:AlternateContent>
  <xr:revisionPtr revIDLastSave="49" documentId="13_ncr:1_{EEEC2CA0-EFFB-40B8-B619-6494462D812F}" xr6:coauthVersionLast="47" xr6:coauthVersionMax="47" xr10:uidLastSave="{02A7E56D-5E63-44DC-901D-D97BFF90C6B1}"/>
  <bookViews>
    <workbookView xWindow="-108" yWindow="-108" windowWidth="23256" windowHeight="12456" activeTab="6" xr2:uid="{38CE7F22-0EEF-4258-BE42-05975EF3532A}"/>
  </bookViews>
  <sheets>
    <sheet name="Pivot table" sheetId="3" r:id="rId1"/>
    <sheet name="Pivot Chart" sheetId="4" r:id="rId2"/>
    <sheet name="Dashboard" sheetId="5" r:id="rId3"/>
    <sheet name="Pivot Table_2" sheetId="6" r:id="rId4"/>
    <sheet name="Question 9" sheetId="7" r:id="rId5"/>
    <sheet name="Ques 10" sheetId="8" r:id="rId6"/>
    <sheet name="Sheet1" sheetId="1" r:id="rId7"/>
  </sheets>
  <definedNames>
    <definedName name="_xlnm._FilterDatabase" localSheetId="6" hidden="1">Sheet1!$A$104:$E$124</definedName>
    <definedName name="Slicer_Product">#N/A</definedName>
    <definedName name="Slicer_Product1">#N/A</definedName>
  </definedNames>
  <calcPr calcId="191029"/>
  <pivotCaches>
    <pivotCache cacheId="0" r:id="rId8"/>
    <pivotCache cacheId="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5" i="1" l="1"/>
  <c r="F157" i="1"/>
  <c r="F158" i="1"/>
  <c r="F159" i="1"/>
  <c r="F160" i="1"/>
  <c r="F161" i="1"/>
  <c r="F162" i="1"/>
  <c r="F163" i="1"/>
  <c r="F164" i="1"/>
  <c r="F165" i="1"/>
  <c r="F166" i="1"/>
  <c r="F167" i="1"/>
  <c r="F168" i="1"/>
  <c r="F169" i="1"/>
  <c r="F170" i="1"/>
  <c r="F171" i="1"/>
  <c r="F172" i="1"/>
  <c r="F173" i="1"/>
  <c r="F174" i="1"/>
  <c r="F156" i="1"/>
</calcChain>
</file>

<file path=xl/sharedStrings.xml><?xml version="1.0" encoding="utf-8"?>
<sst xmlns="http://schemas.openxmlformats.org/spreadsheetml/2006/main" count="288" uniqueCount="86">
  <si>
    <t>Date</t>
  </si>
  <si>
    <t>Region</t>
  </si>
  <si>
    <t>Product</t>
  </si>
  <si>
    <t>Sales</t>
  </si>
  <si>
    <t>Quantity</t>
  </si>
  <si>
    <t>West</t>
  </si>
  <si>
    <t>Mangoes</t>
  </si>
  <si>
    <t>South</t>
  </si>
  <si>
    <t>Oranges</t>
  </si>
  <si>
    <t>Apples</t>
  </si>
  <si>
    <t>East</t>
  </si>
  <si>
    <t>North</t>
  </si>
  <si>
    <t>Dataset Overview</t>
  </si>
  <si>
    <t>Columns Explanation:</t>
  </si>
  <si>
    <t>Tools for Analysis:</t>
  </si>
  <si>
    <t>• Excel - PivotTables, Conditional Formatting, Charts, Dashboards.</t>
  </si>
  <si>
    <t>• Quantity - Units sold.</t>
  </si>
  <si>
    <t>• Sales - Total sales amount (₹).</t>
  </si>
  <si>
    <t>• Product - Type of fruit sold (Apples, Oranges,Mangoes).</t>
  </si>
  <si>
    <t>• Region - Sales region (East, West, North, South).</t>
  </si>
  <si>
    <t>• Date - Transaction date (Jan–Jun 2024).</t>
  </si>
  <si>
    <t>• This dataset represents fruit sales across different regions within the first 6 months of 2024.</t>
  </si>
  <si>
    <t>Sum of Sales</t>
  </si>
  <si>
    <t>Row Labels</t>
  </si>
  <si>
    <t>Grand Total</t>
  </si>
  <si>
    <t>Apr</t>
  </si>
  <si>
    <t>Jun</t>
  </si>
  <si>
    <t>Jan</t>
  </si>
  <si>
    <t>Feb</t>
  </si>
  <si>
    <t>Mar</t>
  </si>
  <si>
    <t>May</t>
  </si>
  <si>
    <t>Assignment Questions</t>
  </si>
  <si>
    <t>Easy Level</t>
  </si>
  <si>
    <t>Medium Level</t>
  </si>
  <si>
    <t>1. What is the purpose of a PivotTable in Excel?</t>
  </si>
  <si>
    <t>2. Create a PivotTable to show Total Sales by Region.</t>
  </si>
  <si>
    <t>3. Apply Conditional Formatting to highlight sales greater than 400.</t>
  </si>
  <si>
    <t>1. A Pivot Table in Excel summarieses, analyses &amp; organises large sets of data, allowing you to extract insights and create custom reports quickly. It helps in grouping, filtering and calculating data without altering the original dataset</t>
  </si>
  <si>
    <t>4. Explain the difference between Sorting and Filtering with an example from this dataset.</t>
  </si>
  <si>
    <t>5. Create a PivotChart showing Monthly Sales Trend.</t>
  </si>
  <si>
    <t>6. Use a Slicer to filter data by Product and observe changes in sales.</t>
  </si>
  <si>
    <t>2. Selected the whole table and from the top ribbon the insert tab selected and selected the Pivot Table option and created Pivot Table on new workbook after that created table as per the requirement only for the Total Sales by Region</t>
  </si>
  <si>
    <t>3. After that the sales column is selected and from the Home Tab in top Ribbon the Conditional Formatting Option is selected with marking the sales greater than 400 as Green Region from the dropdown menu..</t>
  </si>
  <si>
    <t>For example, if we Sort the dataset by Sales in descending order the row with the highest sales will appear first. If you Filter the dataset to show only Product = Mangoes, it will display only the rows where the product is Mangoes, hiding all Apples &amp; Oranges enteries.</t>
  </si>
  <si>
    <t>4. Sorting arranges the data in a specific order based on one or more columns, while filtering temporarily hides rows that do not meet specific criteria.</t>
  </si>
  <si>
    <t>Months</t>
  </si>
  <si>
    <t>• Select your dataset and insert the Pivot Table &amp; add Products in the Column Section and Sales in Value Section.</t>
  </si>
  <si>
    <t>• Insert Slicers from the Insert tab after that select Product and click OK.</t>
  </si>
  <si>
    <t xml:space="preserve">• Use the Slicer buttons to filter by Mangoes, Oranges or Apples and watch the Sales column update automatically. </t>
  </si>
  <si>
    <t>• Select the Dataset and insert the Pivot Table and add Date in Column Section and Sales in Values section.</t>
  </si>
  <si>
    <t>• After that add the PivotChart from Insert tab from the Top Ribbon.</t>
  </si>
  <si>
    <t>5. PivotChart Showing Trend for Monthly Sales:</t>
  </si>
  <si>
    <t>6. To use a Slicer for filtering data by Product and observe Sales Changes:</t>
  </si>
  <si>
    <t>Hard Level</t>
  </si>
  <si>
    <t>7. Why are Dashboards important for decision-making in business analysis?</t>
  </si>
  <si>
    <t>8. Create a Dashboard that includes:</t>
  </si>
  <si>
    <t>• Sales by Region (PivotTable + Chart)</t>
  </si>
  <si>
    <t>• Product Filter (Slicer)</t>
  </si>
  <si>
    <t>• Monthly Trend (Line Chart)</t>
  </si>
  <si>
    <t>9. Group dates in the PivotTable into Months and calculate the average sales per month.</t>
  </si>
  <si>
    <t>10. Combine Apples and Oranges into one group called Fruits and compare its sales with other products.</t>
  </si>
  <si>
    <t>7. Dashboards are important for decision-making in business analysis because they consolidate key metrics into a single view, allowing quick identification of trends, patters &amp; anomalities. They enable faster, data-driven decisions by providing real-time insights and highlighting areas that need attention.</t>
  </si>
  <si>
    <t xml:space="preserve"> Sales by Region (Pivot + Chart)</t>
  </si>
  <si>
    <t xml:space="preserve">2. For this Pivot: drag *Date* to Rows and *Sales* to Values.  </t>
  </si>
  <si>
    <t xml:space="preserve">2. Move the slicer to the Dashboard sheet, between or beside the two charts.  </t>
  </si>
  <si>
    <t xml:space="preserve">Now your dashboard sheet will show:  </t>
  </si>
  <si>
    <t xml:space="preserve">- Column chart of *Sum of Sales by Region*.  </t>
  </si>
  <si>
    <t xml:space="preserve">- Line chart of *Monthly Sales Trend*.  </t>
  </si>
  <si>
    <t>- *Product slicer* that filters both visuals when you click Mangoes/Oranges/Apples</t>
  </si>
  <si>
    <t>1. Click any cell in your data - Insert - PivotTable - select the whole table - place on a new sheet “Pivot table_2”.</t>
  </si>
  <si>
    <t>2. In PivotTable Fields: drag *Region* to Rows, *Sales* to Values (it should show “Sum of Sales”).</t>
  </si>
  <si>
    <t>3. With the Pivot selected, go to Insert - PivotChart - choose a *Clustered Column* chart - move this chart to the “Dashboard” sheet.</t>
  </si>
  <si>
    <t xml:space="preserve"> Monthly Trend (Line Chart)</t>
  </si>
  <si>
    <t>1. Insert a second PivotTable from the same data range on “Dashboard” sheet.</t>
  </si>
  <si>
    <t>3. Right-click any Date in the Pivot - Group - tick *Months* - OK; now each row is a month.</t>
  </si>
  <si>
    <t>4. With this Pivot selected, Insert - PivotChart - choose *Line* chart - move it to the “Dashboard” sheet and place under the first chart.</t>
  </si>
  <si>
    <t xml:space="preserve"> Product Slicer (Filter)</t>
  </si>
  <si>
    <t>1. Click in either PivotTable - Insert Slicer - tick *Product* - OK.</t>
  </si>
  <si>
    <t>3. In Slicer settings, make sure it is connected to *both* PivotTables: right-click slicer - Report Connections - check both PivotTables - OK.</t>
  </si>
  <si>
    <t>Answer - 8 - Dashboard</t>
  </si>
  <si>
    <t>Average of Sales</t>
  </si>
  <si>
    <t>9. Select Dataset and insert Pivot Table :-                                                                                                  Now add Dates in Rows Section and Sales in Values, Keep only Months column from the Date section and remove all other and in Values, Click on the Sales select Value Field Settings and select Average.</t>
  </si>
  <si>
    <t>Category</t>
  </si>
  <si>
    <t>10. Create a new Column named as Category and insert formula: =IF(OR(C155="Apples", C155="Oranges"), "Fruits", C155), it will group the Apples &amp; Oranges together and form Fruits while the left value(Mangoes) remain unchanged. As shown below:-</t>
  </si>
  <si>
    <t>Fruits</t>
  </si>
  <si>
    <t>10. After creating table with new Category for Fruits &amp; Mangoes, to compare the sales - select Insert Tab and select PivotTable from there. Drag the Category in Rows section &amp; Sales in Values section. Then to compare further we can select the Pivot Chart as well from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</si>
</sst>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2" fillId="0" borderId="1" xfId="0" applyFont="1" applyBorder="1" applyAlignment="1">
      <alignment horizontal="center" vertical="center" wrapText="1"/>
    </xf>
    <xf numFmtId="22"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0" fillId="0" borderId="0" xfId="0" pivotButton="1"/>
    <xf numFmtId="0" fontId="0" fillId="0" borderId="0" xfId="0" applyAlignment="1">
      <alignment horizontal="left"/>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3" borderId="0" xfId="0" applyFill="1" applyAlignment="1">
      <alignment vertical="center"/>
    </xf>
    <xf numFmtId="0" fontId="0" fillId="3" borderId="0" xfId="0" applyFill="1"/>
    <xf numFmtId="2" fontId="0" fillId="0" borderId="0" xfId="0" applyNumberFormat="1"/>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0" fillId="3" borderId="0" xfId="0" applyFill="1" applyAlignment="1">
      <alignment horizontal="center" vertical="center"/>
    </xf>
    <xf numFmtId="0" fontId="4" fillId="3" borderId="0" xfId="0" applyFont="1" applyFill="1" applyAlignment="1">
      <alignment horizontal="center"/>
    </xf>
    <xf numFmtId="0" fontId="2" fillId="3" borderId="0" xfId="0" applyFont="1" applyFill="1" applyAlignment="1">
      <alignment horizontal="center" vertical="center" wrapText="1"/>
    </xf>
    <xf numFmtId="0" fontId="0" fillId="0" borderId="0" xfId="0" applyAlignment="1">
      <alignment horizontal="center"/>
    </xf>
    <xf numFmtId="0" fontId="2" fillId="0" borderId="0" xfId="0" applyFont="1" applyAlignment="1">
      <alignment horizontal="center" vertical="center"/>
    </xf>
    <xf numFmtId="0" fontId="2" fillId="0" borderId="0" xfId="0" applyFont="1" applyAlignment="1">
      <alignment horizontal="center"/>
    </xf>
    <xf numFmtId="0" fontId="0" fillId="2" borderId="0" xfId="0" applyFill="1" applyAlignment="1">
      <alignment horizontal="center"/>
    </xf>
    <xf numFmtId="0" fontId="1" fillId="0" borderId="0" xfId="0" applyFont="1" applyAlignment="1">
      <alignment horizontal="center"/>
    </xf>
    <xf numFmtId="0" fontId="2"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2" borderId="0" xfId="0" applyFill="1" applyAlignment="1">
      <alignment horizontal="center" vertical="center"/>
    </xf>
    <xf numFmtId="0" fontId="0" fillId="3" borderId="1" xfId="0" applyFill="1" applyBorder="1"/>
    <xf numFmtId="0" fontId="0" fillId="0" borderId="0" xfId="0" applyNumberFormat="1"/>
  </cellXfs>
  <cellStyles count="1">
    <cellStyle name="Normal" xfId="0" builtinId="0"/>
  </cellStyles>
  <dxfs count="3">
    <dxf>
      <numFmt numFmtId="2" formatCode="0.00"/>
    </dxf>
    <dxf>
      <numFmt numFmtId="2" formatCode="0.00"/>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4.xlsx]Pivot Chart!PivotTable3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Chart'!$B$3</c:f>
              <c:strCache>
                <c:ptCount val="1"/>
                <c:pt idx="0">
                  <c:v>Total</c:v>
                </c:pt>
              </c:strCache>
            </c:strRef>
          </c:tx>
          <c:spPr>
            <a:solidFill>
              <a:schemeClr val="accent1"/>
            </a:solidFill>
            <a:ln>
              <a:noFill/>
            </a:ln>
            <a:effectLst/>
          </c:spPr>
          <c:invertIfNegative val="0"/>
          <c:cat>
            <c:strRef>
              <c:f>'Pivot Chart'!$A$4:$A$10</c:f>
              <c:strCache>
                <c:ptCount val="6"/>
                <c:pt idx="0">
                  <c:v>Jan</c:v>
                </c:pt>
                <c:pt idx="1">
                  <c:v>Feb</c:v>
                </c:pt>
                <c:pt idx="2">
                  <c:v>Mar</c:v>
                </c:pt>
                <c:pt idx="3">
                  <c:v>Apr</c:v>
                </c:pt>
                <c:pt idx="4">
                  <c:v>May</c:v>
                </c:pt>
                <c:pt idx="5">
                  <c:v>Jun</c:v>
                </c:pt>
              </c:strCache>
            </c:strRef>
          </c:cat>
          <c:val>
            <c:numRef>
              <c:f>'Pivot Chart'!$B$4:$B$10</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BB48-4308-8D38-3AB5390FEAA7}"/>
            </c:ext>
          </c:extLst>
        </c:ser>
        <c:dLbls>
          <c:showLegendKey val="0"/>
          <c:showVal val="0"/>
          <c:showCatName val="0"/>
          <c:showSerName val="0"/>
          <c:showPercent val="0"/>
          <c:showBubbleSize val="0"/>
        </c:dLbls>
        <c:gapWidth val="219"/>
        <c:overlap val="-27"/>
        <c:axId val="904134336"/>
        <c:axId val="904130976"/>
      </c:barChart>
      <c:catAx>
        <c:axId val="90413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130976"/>
        <c:crosses val="autoZero"/>
        <c:auto val="1"/>
        <c:lblAlgn val="ctr"/>
        <c:lblOffset val="100"/>
        <c:noMultiLvlLbl val="0"/>
      </c:catAx>
      <c:valAx>
        <c:axId val="90413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13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4.xlsx]Dashboard!PivotTable6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Dashboard!$B$2</c:f>
              <c:strCache>
                <c:ptCount val="1"/>
                <c:pt idx="0">
                  <c:v>Total</c:v>
                </c:pt>
              </c:strCache>
            </c:strRef>
          </c:tx>
          <c:spPr>
            <a:ln w="28575" cap="rnd">
              <a:solidFill>
                <a:schemeClr val="accent1"/>
              </a:solidFill>
              <a:round/>
            </a:ln>
            <a:effectLst/>
          </c:spPr>
          <c:marker>
            <c:symbol val="none"/>
          </c:marker>
          <c:cat>
            <c:strRef>
              <c:f>Dashboard!$A$3:$A$9</c:f>
              <c:strCache>
                <c:ptCount val="6"/>
                <c:pt idx="0">
                  <c:v>Jan</c:v>
                </c:pt>
                <c:pt idx="1">
                  <c:v>Feb</c:v>
                </c:pt>
                <c:pt idx="2">
                  <c:v>Mar</c:v>
                </c:pt>
                <c:pt idx="3">
                  <c:v>Apr</c:v>
                </c:pt>
                <c:pt idx="4">
                  <c:v>May</c:v>
                </c:pt>
                <c:pt idx="5">
                  <c:v>Jun</c:v>
                </c:pt>
              </c:strCache>
            </c:strRef>
          </c:cat>
          <c:val>
            <c:numRef>
              <c:f>Dashboard!$B$3:$B$9</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7C4D-4877-BE54-72EC5AED3311}"/>
            </c:ext>
          </c:extLst>
        </c:ser>
        <c:dLbls>
          <c:showLegendKey val="0"/>
          <c:showVal val="0"/>
          <c:showCatName val="0"/>
          <c:showSerName val="0"/>
          <c:showPercent val="0"/>
          <c:showBubbleSize val="0"/>
        </c:dLbls>
        <c:smooth val="0"/>
        <c:axId val="899126784"/>
        <c:axId val="899128704"/>
      </c:lineChart>
      <c:catAx>
        <c:axId val="89912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28704"/>
        <c:crosses val="autoZero"/>
        <c:auto val="1"/>
        <c:lblAlgn val="ctr"/>
        <c:lblOffset val="100"/>
        <c:noMultiLvlLbl val="0"/>
      </c:catAx>
      <c:valAx>
        <c:axId val="89912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2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4.xlsx]Pivot Table_2!PivotTable5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Table_2'!$B$3</c:f>
              <c:strCache>
                <c:ptCount val="1"/>
                <c:pt idx="0">
                  <c:v>Total</c:v>
                </c:pt>
              </c:strCache>
            </c:strRef>
          </c:tx>
          <c:spPr>
            <a:solidFill>
              <a:schemeClr val="accent1"/>
            </a:solidFill>
            <a:ln>
              <a:noFill/>
            </a:ln>
            <a:effectLst/>
          </c:spPr>
          <c:invertIfNegative val="0"/>
          <c:cat>
            <c:strRef>
              <c:f>'Pivot Table_2'!$A$4:$A$8</c:f>
              <c:strCache>
                <c:ptCount val="4"/>
                <c:pt idx="0">
                  <c:v>East</c:v>
                </c:pt>
                <c:pt idx="1">
                  <c:v>North</c:v>
                </c:pt>
                <c:pt idx="2">
                  <c:v>South</c:v>
                </c:pt>
                <c:pt idx="3">
                  <c:v>West</c:v>
                </c:pt>
              </c:strCache>
            </c:strRef>
          </c:cat>
          <c:val>
            <c:numRef>
              <c:f>'Pivot Table_2'!$B$4:$B$8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2539-450E-8B19-31E23B06941D}"/>
            </c:ext>
          </c:extLst>
        </c:ser>
        <c:dLbls>
          <c:showLegendKey val="0"/>
          <c:showVal val="0"/>
          <c:showCatName val="0"/>
          <c:showSerName val="0"/>
          <c:showPercent val="0"/>
          <c:showBubbleSize val="0"/>
        </c:dLbls>
        <c:gapWidth val="219"/>
        <c:overlap val="-27"/>
        <c:axId val="478480704"/>
        <c:axId val="478471104"/>
      </c:barChart>
      <c:catAx>
        <c:axId val="47848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471104"/>
        <c:crosses val="autoZero"/>
        <c:auto val="1"/>
        <c:lblAlgn val="ctr"/>
        <c:lblOffset val="100"/>
        <c:noMultiLvlLbl val="0"/>
      </c:catAx>
      <c:valAx>
        <c:axId val="47847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48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4.xlsx]Ques 10!PivotTable1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 10'!$B$3</c:f>
              <c:strCache>
                <c:ptCount val="1"/>
                <c:pt idx="0">
                  <c:v>Total</c:v>
                </c:pt>
              </c:strCache>
            </c:strRef>
          </c:tx>
          <c:spPr>
            <a:solidFill>
              <a:schemeClr val="accent1"/>
            </a:solidFill>
            <a:ln>
              <a:noFill/>
            </a:ln>
            <a:effectLst/>
          </c:spPr>
          <c:invertIfNegative val="0"/>
          <c:cat>
            <c:strRef>
              <c:f>'Ques 10'!$A$4:$A$6</c:f>
              <c:strCache>
                <c:ptCount val="2"/>
                <c:pt idx="0">
                  <c:v>Fruits</c:v>
                </c:pt>
                <c:pt idx="1">
                  <c:v>Mangoes</c:v>
                </c:pt>
              </c:strCache>
            </c:strRef>
          </c:cat>
          <c:val>
            <c:numRef>
              <c:f>'Ques 10'!$B$4:$B$6</c:f>
              <c:numCache>
                <c:formatCode>General</c:formatCode>
                <c:ptCount val="2"/>
                <c:pt idx="0">
                  <c:v>4308</c:v>
                </c:pt>
                <c:pt idx="1">
                  <c:v>2521</c:v>
                </c:pt>
              </c:numCache>
            </c:numRef>
          </c:val>
          <c:extLst>
            <c:ext xmlns:c16="http://schemas.microsoft.com/office/drawing/2014/chart" uri="{C3380CC4-5D6E-409C-BE32-E72D297353CC}">
              <c16:uniqueId val="{00000000-DA7A-4B0C-8DA4-72EC40B88F57}"/>
            </c:ext>
          </c:extLst>
        </c:ser>
        <c:dLbls>
          <c:showLegendKey val="0"/>
          <c:showVal val="0"/>
          <c:showCatName val="0"/>
          <c:showSerName val="0"/>
          <c:showPercent val="0"/>
          <c:showBubbleSize val="0"/>
        </c:dLbls>
        <c:gapWidth val="219"/>
        <c:overlap val="-27"/>
        <c:axId val="1348763008"/>
        <c:axId val="1348747168"/>
      </c:barChart>
      <c:catAx>
        <c:axId val="134876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747168"/>
        <c:crosses val="autoZero"/>
        <c:auto val="1"/>
        <c:lblAlgn val="ctr"/>
        <c:lblOffset val="100"/>
        <c:noMultiLvlLbl val="0"/>
      </c:catAx>
      <c:valAx>
        <c:axId val="134874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76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365760</xdr:colOff>
      <xdr:row>0</xdr:row>
      <xdr:rowOff>95250</xdr:rowOff>
    </xdr:from>
    <xdr:to>
      <xdr:col>10</xdr:col>
      <xdr:colOff>60960</xdr:colOff>
      <xdr:row>15</xdr:row>
      <xdr:rowOff>95250</xdr:rowOff>
    </xdr:to>
    <xdr:graphicFrame macro="">
      <xdr:nvGraphicFramePr>
        <xdr:cNvPr id="2" name="Chart 1">
          <a:extLst>
            <a:ext uri="{FF2B5EF4-FFF2-40B4-BE49-F238E27FC236}">
              <a16:creationId xmlns:a16="http://schemas.microsoft.com/office/drawing/2014/main" id="{09D45AFB-77D2-42B1-419A-7EC848428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160020</xdr:colOff>
      <xdr:row>0</xdr:row>
      <xdr:rowOff>129541</xdr:rowOff>
    </xdr:from>
    <xdr:to>
      <xdr:col>13</xdr:col>
      <xdr:colOff>160020</xdr:colOff>
      <xdr:row>8</xdr:row>
      <xdr:rowOff>83821</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F4D6951D-61AC-AA56-B131-3014B783713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576060" y="12954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0</xdr:row>
      <xdr:rowOff>80010</xdr:rowOff>
    </xdr:from>
    <xdr:to>
      <xdr:col>9</xdr:col>
      <xdr:colOff>342900</xdr:colOff>
      <xdr:row>15</xdr:row>
      <xdr:rowOff>80010</xdr:rowOff>
    </xdr:to>
    <xdr:graphicFrame macro="">
      <xdr:nvGraphicFramePr>
        <xdr:cNvPr id="5" name="Chart 4">
          <a:extLst>
            <a:ext uri="{FF2B5EF4-FFF2-40B4-BE49-F238E27FC236}">
              <a16:creationId xmlns:a16="http://schemas.microsoft.com/office/drawing/2014/main" id="{F4E7B156-0941-3C08-F980-76C60F392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381000</xdr:colOff>
      <xdr:row>0</xdr:row>
      <xdr:rowOff>144781</xdr:rowOff>
    </xdr:from>
    <xdr:to>
      <xdr:col>12</xdr:col>
      <xdr:colOff>381000</xdr:colOff>
      <xdr:row>7</xdr:row>
      <xdr:rowOff>152400</xdr:rowOff>
    </xdr:to>
    <mc:AlternateContent xmlns:mc="http://schemas.openxmlformats.org/markup-compatibility/2006" xmlns:a14="http://schemas.microsoft.com/office/drawing/2010/main">
      <mc:Choice Requires="a14">
        <xdr:graphicFrame macro="">
          <xdr:nvGraphicFramePr>
            <xdr:cNvPr id="6" name="Product 1">
              <a:extLst>
                <a:ext uri="{FF2B5EF4-FFF2-40B4-BE49-F238E27FC236}">
                  <a16:creationId xmlns:a16="http://schemas.microsoft.com/office/drawing/2014/main" id="{2D558FE9-609F-C375-2601-F063D5FED59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309360" y="144781"/>
              <a:ext cx="1828800" cy="128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419100</xdr:colOff>
      <xdr:row>0</xdr:row>
      <xdr:rowOff>91440</xdr:rowOff>
    </xdr:from>
    <xdr:to>
      <xdr:col>20</xdr:col>
      <xdr:colOff>114300</xdr:colOff>
      <xdr:row>15</xdr:row>
      <xdr:rowOff>91440</xdr:rowOff>
    </xdr:to>
    <xdr:graphicFrame macro="">
      <xdr:nvGraphicFramePr>
        <xdr:cNvPr id="7" name="Chart 6">
          <a:extLst>
            <a:ext uri="{FF2B5EF4-FFF2-40B4-BE49-F238E27FC236}">
              <a16:creationId xmlns:a16="http://schemas.microsoft.com/office/drawing/2014/main" id="{0409347B-5A77-4097-9955-EEBA92635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579120</xdr:colOff>
      <xdr:row>1</xdr:row>
      <xdr:rowOff>19050</xdr:rowOff>
    </xdr:from>
    <xdr:to>
      <xdr:col>10</xdr:col>
      <xdr:colOff>274320</xdr:colOff>
      <xdr:row>16</xdr:row>
      <xdr:rowOff>19050</xdr:rowOff>
    </xdr:to>
    <xdr:graphicFrame macro="">
      <xdr:nvGraphicFramePr>
        <xdr:cNvPr id="2" name="Chart 1">
          <a:extLst>
            <a:ext uri="{FF2B5EF4-FFF2-40B4-BE49-F238E27FC236}">
              <a16:creationId xmlns:a16="http://schemas.microsoft.com/office/drawing/2014/main" id="{2A9A2A3F-54AA-964A-8B0A-D36FE837D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8.502594791666" createdVersion="8" refreshedVersion="8" minRefreshableVersion="3" recordCount="20" xr:uid="{7AD3427C-0041-4FB2-86F9-003F8871F810}">
  <cacheSource type="worksheet">
    <worksheetSource ref="A2:E22" sheet="Sheet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4200397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9.521639004626" createdVersion="8" refreshedVersion="8" minRefreshableVersion="3" recordCount="20" xr:uid="{FF9E73A7-94D9-4707-8711-F83F669CAF94}">
  <cacheSource type="worksheet">
    <worksheetSource ref="A154:F174" sheet="Sheet1"/>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Category" numFmtId="0">
      <sharedItems count="2">
        <s v="Mangoes"/>
        <s v="Fruit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s v="Mangoes"/>
    <n v="456"/>
    <n v="93"/>
    <x v="0"/>
  </r>
  <r>
    <d v="2024-01-10T12:37:54"/>
    <s v="South"/>
    <s v="Oranges"/>
    <n v="348"/>
    <n v="56"/>
    <x v="1"/>
  </r>
  <r>
    <d v="2024-01-20T01:15:47"/>
    <s v="South"/>
    <s v="Mangoes"/>
    <n v="247"/>
    <n v="76"/>
    <x v="0"/>
  </r>
  <r>
    <d v="2024-01-29T13:53:41"/>
    <s v="West"/>
    <s v="Apples"/>
    <n v="230"/>
    <n v="37"/>
    <x v="1"/>
  </r>
  <r>
    <d v="2024-02-08T02:31:35"/>
    <s v="West"/>
    <s v="Mangoes"/>
    <n v="281"/>
    <n v="50"/>
    <x v="0"/>
  </r>
  <r>
    <d v="2024-02-17T15:09:28"/>
    <s v="West"/>
    <s v="Oranges"/>
    <n v="334"/>
    <n v="52"/>
    <x v="1"/>
  </r>
  <r>
    <d v="2024-02-27T03:47:22"/>
    <s v="South"/>
    <s v="Apples"/>
    <n v="417"/>
    <n v="29"/>
    <x v="1"/>
  </r>
  <r>
    <d v="2024-03-07T16:25:16"/>
    <s v="West"/>
    <s v="Apples"/>
    <n v="441"/>
    <n v="44"/>
    <x v="1"/>
  </r>
  <r>
    <d v="2024-03-17T05:03:09"/>
    <s v="South"/>
    <s v="Mangoes"/>
    <n v="76"/>
    <n v="63"/>
    <x v="0"/>
  </r>
  <r>
    <d v="2024-03-26T17:41:03"/>
    <s v="West"/>
    <s v="Oranges"/>
    <n v="441"/>
    <n v="79"/>
    <x v="1"/>
  </r>
  <r>
    <d v="2024-04-05T06:18:57"/>
    <s v="South"/>
    <s v="Mangoes"/>
    <n v="205"/>
    <n v="23"/>
    <x v="0"/>
  </r>
  <r>
    <d v="2024-04-14T18:56:51"/>
    <s v="West"/>
    <s v="Oranges"/>
    <n v="483"/>
    <n v="97"/>
    <x v="1"/>
  </r>
  <r>
    <d v="2024-04-24T07:34:44"/>
    <s v="East"/>
    <s v="Mangoes"/>
    <n v="467"/>
    <n v="97"/>
    <x v="0"/>
  </r>
  <r>
    <d v="2024-05-03T20:12:38"/>
    <s v="West"/>
    <s v="Mangoes"/>
    <n v="380"/>
    <n v="92"/>
    <x v="0"/>
  </r>
  <r>
    <d v="2024-05-13T08:50:32"/>
    <s v="South"/>
    <s v="Oranges"/>
    <n v="497"/>
    <n v="71"/>
    <x v="1"/>
  </r>
  <r>
    <d v="2024-05-22T21:28:25"/>
    <s v="South"/>
    <s v="Mangoes"/>
    <n v="409"/>
    <n v="81"/>
    <x v="0"/>
  </r>
  <r>
    <d v="2024-06-01T10:06:19"/>
    <s v="West"/>
    <s v="Oranges"/>
    <n v="53"/>
    <n v="45"/>
    <x v="1"/>
  </r>
  <r>
    <d v="2024-06-10T22:44:13"/>
    <s v="West"/>
    <s v="Apples"/>
    <n v="398"/>
    <n v="33"/>
    <x v="1"/>
  </r>
  <r>
    <d v="2024-06-20T11:22:06"/>
    <s v="North"/>
    <s v="Oranges"/>
    <n v="347"/>
    <n v="35"/>
    <x v="1"/>
  </r>
  <r>
    <d v="2024-06-30T00:00:00"/>
    <s v="South"/>
    <s v="Apples"/>
    <n v="319"/>
    <n v="4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E2361D-57BE-4A8D-8300-96C774C9FD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8"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onditionalFormats count="1">
    <conditionalFormat priority="1">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CD6046-94BB-46A6-A4E9-BA34439E8C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onths">
  <location ref="A3:B1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sd="0" x="2"/>
        <item sd="0" x="0"/>
        <item sd="0"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2"/>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D1978D-0B88-4F46-B024-8529153292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B9"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E5E239-818C-4B6D-8174-700B4F7EFAE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F75325-28A1-4D35-A59F-198F2685D4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7">
    <i>
      <x v="1"/>
    </i>
    <i>
      <x v="2"/>
    </i>
    <i>
      <x v="3"/>
    </i>
    <i>
      <x v="4"/>
    </i>
    <i>
      <x v="5"/>
    </i>
    <i>
      <x v="6"/>
    </i>
    <i t="grand">
      <x/>
    </i>
  </rowItems>
  <colItems count="1">
    <i/>
  </colItems>
  <dataFields count="1">
    <dataField name="Average of Sales" fld="3" subtotal="average" baseField="6" baseItem="1"/>
  </dataFields>
  <formats count="2">
    <format dxfId="1">
      <pivotArea collapsedLevelsAreSubtotals="1" fieldPosition="0">
        <references count="1">
          <reference field="6" count="1">
            <x v="3"/>
          </reference>
        </references>
      </pivotArea>
    </format>
    <format dxfId="0">
      <pivotArea collapsedLevelsAreSubtotals="1" fieldPosition="0">
        <references count="1">
          <reference field="6"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14B132-75D1-452E-B49B-5CF90E5CBFA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6">
    <pivotField numFmtId="22" showAll="0"/>
    <pivotField showAll="0"/>
    <pivotField showAll="0"/>
    <pivotField dataField="1" showAll="0"/>
    <pivotField showAll="0"/>
    <pivotField axis="axisRow" showAll="0">
      <items count="3">
        <item x="1"/>
        <item x="0"/>
        <item t="default"/>
      </items>
    </pivotField>
  </pivotFields>
  <rowFields count="1">
    <field x="5"/>
  </rowFields>
  <rowItems count="3">
    <i>
      <x/>
    </i>
    <i>
      <x v="1"/>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8238FFE-4231-4598-AE85-03B5DA1AAF57}" sourceName="Product">
  <pivotTables>
    <pivotTable tabId="4" name="PivotTable3"/>
  </pivotTables>
  <data>
    <tabular pivotCacheId="42003976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CD8D8E1-1758-40CE-8E90-F9F1BC06593D}" sourceName="Product">
  <pivotTables>
    <pivotTable tabId="5" name="PivotTable6"/>
    <pivotTable tabId="6" name="PivotTable5"/>
  </pivotTables>
  <data>
    <tabular pivotCacheId="42003976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F2599CF-8E4C-43AF-B593-66E47A3706AC}"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21811E7B-51E6-48CE-89DB-31BAC0F8DA49}" cache="Slicer_Product1"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5C62-0CEF-4CA5-B79C-6837A82B1957}">
  <dimension ref="A3:H18"/>
  <sheetViews>
    <sheetView workbookViewId="0">
      <selection activeCell="E8" sqref="E8"/>
    </sheetView>
  </sheetViews>
  <sheetFormatPr defaultRowHeight="14.4" x14ac:dyDescent="0.3"/>
  <cols>
    <col min="1" max="1" width="10.77734375" bestFit="1" customWidth="1"/>
    <col min="2" max="2" width="11.6640625" bestFit="1" customWidth="1"/>
  </cols>
  <sheetData>
    <row r="3" spans="1:8" x14ac:dyDescent="0.3">
      <c r="A3" s="4" t="s">
        <v>1</v>
      </c>
      <c r="B3" t="s">
        <v>22</v>
      </c>
    </row>
    <row r="4" spans="1:8" x14ac:dyDescent="0.3">
      <c r="A4" s="5" t="s">
        <v>10</v>
      </c>
      <c r="B4" s="25">
        <v>467</v>
      </c>
    </row>
    <row r="5" spans="1:8" x14ac:dyDescent="0.3">
      <c r="A5" s="5" t="s">
        <v>11</v>
      </c>
      <c r="B5" s="25">
        <v>347</v>
      </c>
    </row>
    <row r="6" spans="1:8" x14ac:dyDescent="0.3">
      <c r="A6" s="5" t="s">
        <v>7</v>
      </c>
      <c r="B6" s="25">
        <v>2518</v>
      </c>
    </row>
    <row r="7" spans="1:8" x14ac:dyDescent="0.3">
      <c r="A7" s="5" t="s">
        <v>5</v>
      </c>
      <c r="B7" s="25">
        <v>3497</v>
      </c>
    </row>
    <row r="8" spans="1:8" x14ac:dyDescent="0.3">
      <c r="A8" s="5" t="s">
        <v>24</v>
      </c>
      <c r="B8" s="25">
        <v>6829</v>
      </c>
    </row>
    <row r="10" spans="1:8" x14ac:dyDescent="0.3">
      <c r="A10" s="11" t="s">
        <v>41</v>
      </c>
      <c r="B10" s="11"/>
      <c r="C10" s="11"/>
      <c r="D10" s="11"/>
      <c r="E10" s="11"/>
      <c r="F10" s="11"/>
      <c r="G10" s="11"/>
      <c r="H10" s="11"/>
    </row>
    <row r="11" spans="1:8" x14ac:dyDescent="0.3">
      <c r="A11" s="11"/>
      <c r="B11" s="11"/>
      <c r="C11" s="11"/>
      <c r="D11" s="11"/>
      <c r="E11" s="11"/>
      <c r="F11" s="11"/>
      <c r="G11" s="11"/>
      <c r="H11" s="11"/>
    </row>
    <row r="12" spans="1:8" x14ac:dyDescent="0.3">
      <c r="A12" s="11"/>
      <c r="B12" s="11"/>
      <c r="C12" s="11"/>
      <c r="D12" s="11"/>
      <c r="E12" s="11"/>
      <c r="F12" s="11"/>
      <c r="G12" s="11"/>
      <c r="H12" s="11"/>
    </row>
    <row r="13" spans="1:8" x14ac:dyDescent="0.3">
      <c r="A13" s="11"/>
      <c r="B13" s="11"/>
      <c r="C13" s="11"/>
      <c r="D13" s="11"/>
      <c r="E13" s="11"/>
      <c r="F13" s="11"/>
      <c r="G13" s="11"/>
      <c r="H13" s="11"/>
    </row>
    <row r="15" spans="1:8" x14ac:dyDescent="0.3">
      <c r="A15" s="11" t="s">
        <v>42</v>
      </c>
      <c r="B15" s="11"/>
      <c r="C15" s="11"/>
      <c r="D15" s="11"/>
      <c r="E15" s="11"/>
      <c r="F15" s="11"/>
      <c r="G15" s="11"/>
      <c r="H15" s="11"/>
    </row>
    <row r="16" spans="1:8" x14ac:dyDescent="0.3">
      <c r="A16" s="11"/>
      <c r="B16" s="11"/>
      <c r="C16" s="11"/>
      <c r="D16" s="11"/>
      <c r="E16" s="11"/>
      <c r="F16" s="11"/>
      <c r="G16" s="11"/>
      <c r="H16" s="11"/>
    </row>
    <row r="17" spans="1:8" x14ac:dyDescent="0.3">
      <c r="A17" s="11"/>
      <c r="B17" s="11"/>
      <c r="C17" s="11"/>
      <c r="D17" s="11"/>
      <c r="E17" s="11"/>
      <c r="F17" s="11"/>
      <c r="G17" s="11"/>
      <c r="H17" s="11"/>
    </row>
    <row r="18" spans="1:8" x14ac:dyDescent="0.3">
      <c r="A18" s="11"/>
      <c r="B18" s="11"/>
      <c r="C18" s="11"/>
      <c r="D18" s="11"/>
      <c r="E18" s="11"/>
      <c r="F18" s="11"/>
      <c r="G18" s="11"/>
      <c r="H18" s="11"/>
    </row>
  </sheetData>
  <mergeCells count="2">
    <mergeCell ref="A10:H13"/>
    <mergeCell ref="A15:H18"/>
  </mergeCells>
  <conditionalFormatting pivot="1" sqref="B4:B7">
    <cfRule type="cellIs" dxfId="2" priority="1" operator="greaterThan">
      <formula>400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289E3-6121-40C3-8CC1-13D3B5E55D61}">
  <dimension ref="A3:K28"/>
  <sheetViews>
    <sheetView workbookViewId="0">
      <selection activeCell="B7" sqref="B7"/>
    </sheetView>
  </sheetViews>
  <sheetFormatPr defaultRowHeight="14.4" x14ac:dyDescent="0.3"/>
  <cols>
    <col min="1" max="1" width="10.77734375" bestFit="1" customWidth="1"/>
    <col min="2" max="2" width="11.6640625" bestFit="1" customWidth="1"/>
  </cols>
  <sheetData>
    <row r="3" spans="1:2" x14ac:dyDescent="0.3">
      <c r="A3" s="4" t="s">
        <v>45</v>
      </c>
      <c r="B3" t="s">
        <v>22</v>
      </c>
    </row>
    <row r="4" spans="1:2" x14ac:dyDescent="0.3">
      <c r="A4" s="5" t="s">
        <v>27</v>
      </c>
      <c r="B4" s="25">
        <v>1281</v>
      </c>
    </row>
    <row r="5" spans="1:2" x14ac:dyDescent="0.3">
      <c r="A5" s="5" t="s">
        <v>28</v>
      </c>
      <c r="B5" s="25">
        <v>1032</v>
      </c>
    </row>
    <row r="6" spans="1:2" x14ac:dyDescent="0.3">
      <c r="A6" s="5" t="s">
        <v>29</v>
      </c>
      <c r="B6" s="25">
        <v>958</v>
      </c>
    </row>
    <row r="7" spans="1:2" x14ac:dyDescent="0.3">
      <c r="A7" s="5" t="s">
        <v>25</v>
      </c>
      <c r="B7" s="25">
        <v>1155</v>
      </c>
    </row>
    <row r="8" spans="1:2" x14ac:dyDescent="0.3">
      <c r="A8" s="5" t="s">
        <v>30</v>
      </c>
      <c r="B8" s="25">
        <v>1286</v>
      </c>
    </row>
    <row r="9" spans="1:2" x14ac:dyDescent="0.3">
      <c r="A9" s="5" t="s">
        <v>26</v>
      </c>
      <c r="B9" s="25">
        <v>1117</v>
      </c>
    </row>
    <row r="10" spans="1:2" x14ac:dyDescent="0.3">
      <c r="A10" s="5" t="s">
        <v>24</v>
      </c>
      <c r="B10" s="25">
        <v>6829</v>
      </c>
    </row>
    <row r="18" spans="1:11" x14ac:dyDescent="0.3">
      <c r="A18" s="12" t="s">
        <v>51</v>
      </c>
      <c r="B18" s="12"/>
      <c r="C18" s="12"/>
      <c r="D18" s="12"/>
      <c r="E18" s="12"/>
      <c r="F18" s="12"/>
      <c r="G18" s="12"/>
      <c r="H18" s="12"/>
      <c r="I18" s="12"/>
      <c r="J18" s="12"/>
      <c r="K18" s="12"/>
    </row>
    <row r="19" spans="1:11" x14ac:dyDescent="0.3">
      <c r="A19" s="8"/>
      <c r="B19" s="8"/>
      <c r="C19" s="8"/>
      <c r="D19" s="8"/>
      <c r="E19" s="8"/>
      <c r="F19" s="8"/>
      <c r="G19" s="8"/>
      <c r="H19" s="8"/>
      <c r="I19" s="8"/>
      <c r="J19" s="8"/>
      <c r="K19" s="8"/>
    </row>
    <row r="20" spans="1:11" x14ac:dyDescent="0.3">
      <c r="A20" s="13" t="s">
        <v>49</v>
      </c>
      <c r="B20" s="13"/>
      <c r="C20" s="13"/>
      <c r="D20" s="13"/>
      <c r="E20" s="13"/>
      <c r="F20" s="13"/>
      <c r="G20" s="13"/>
      <c r="H20" s="13"/>
      <c r="I20" s="13"/>
      <c r="J20" s="13"/>
      <c r="K20" s="13"/>
    </row>
    <row r="21" spans="1:11" x14ac:dyDescent="0.3">
      <c r="A21" s="13" t="s">
        <v>50</v>
      </c>
      <c r="B21" s="13"/>
      <c r="C21" s="13"/>
      <c r="D21" s="13"/>
      <c r="E21" s="13"/>
      <c r="F21" s="13"/>
      <c r="G21" s="13"/>
      <c r="H21" s="13"/>
      <c r="I21" s="13"/>
      <c r="J21" s="13"/>
      <c r="K21" s="13"/>
    </row>
    <row r="24" spans="1:11" x14ac:dyDescent="0.3">
      <c r="A24" s="12" t="s">
        <v>52</v>
      </c>
      <c r="B24" s="12"/>
      <c r="C24" s="12"/>
      <c r="D24" s="12"/>
      <c r="E24" s="12"/>
      <c r="F24" s="12"/>
      <c r="G24" s="12"/>
      <c r="H24" s="12"/>
      <c r="I24" s="12"/>
      <c r="J24" s="12"/>
      <c r="K24" s="12"/>
    </row>
    <row r="25" spans="1:11" x14ac:dyDescent="0.3">
      <c r="A25" s="8"/>
      <c r="B25" s="8"/>
      <c r="C25" s="8"/>
      <c r="D25" s="8"/>
      <c r="E25" s="8"/>
      <c r="F25" s="8"/>
      <c r="G25" s="8"/>
      <c r="H25" s="8"/>
      <c r="I25" s="8"/>
      <c r="J25" s="8"/>
      <c r="K25" s="8"/>
    </row>
    <row r="26" spans="1:11" x14ac:dyDescent="0.3">
      <c r="A26" s="13" t="s">
        <v>46</v>
      </c>
      <c r="B26" s="13"/>
      <c r="C26" s="13"/>
      <c r="D26" s="13"/>
      <c r="E26" s="13"/>
      <c r="F26" s="13"/>
      <c r="G26" s="13"/>
      <c r="H26" s="13"/>
      <c r="I26" s="13"/>
      <c r="J26" s="13"/>
      <c r="K26" s="13"/>
    </row>
    <row r="27" spans="1:11" x14ac:dyDescent="0.3">
      <c r="A27" s="13" t="s">
        <v>47</v>
      </c>
      <c r="B27" s="13"/>
      <c r="C27" s="13"/>
      <c r="D27" s="13"/>
      <c r="E27" s="13"/>
      <c r="F27" s="13"/>
      <c r="G27" s="13"/>
      <c r="H27" s="13"/>
      <c r="I27" s="13"/>
      <c r="J27" s="13"/>
      <c r="K27" s="13"/>
    </row>
    <row r="28" spans="1:11" x14ac:dyDescent="0.3">
      <c r="A28" s="13" t="s">
        <v>48</v>
      </c>
      <c r="B28" s="13"/>
      <c r="C28" s="13"/>
      <c r="D28" s="13"/>
      <c r="E28" s="13"/>
      <c r="F28" s="13"/>
      <c r="G28" s="13"/>
      <c r="H28" s="13"/>
      <c r="I28" s="13"/>
      <c r="J28" s="13"/>
      <c r="K28" s="13"/>
    </row>
  </sheetData>
  <mergeCells count="7">
    <mergeCell ref="A24:K24"/>
    <mergeCell ref="A26:K26"/>
    <mergeCell ref="A27:K27"/>
    <mergeCell ref="A28:K28"/>
    <mergeCell ref="A18:K18"/>
    <mergeCell ref="A20:K20"/>
    <mergeCell ref="A21:K2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06AA9-1394-40AD-BD5B-A77282D81CDB}">
  <dimension ref="A2:N42"/>
  <sheetViews>
    <sheetView workbookViewId="0">
      <selection activeCell="K15" sqref="K15"/>
    </sheetView>
  </sheetViews>
  <sheetFormatPr defaultRowHeight="14.4" x14ac:dyDescent="0.3"/>
  <cols>
    <col min="1" max="1" width="12.5546875" bestFit="1" customWidth="1"/>
    <col min="2" max="2" width="11.6640625" bestFit="1" customWidth="1"/>
  </cols>
  <sheetData>
    <row r="2" spans="1:2" x14ac:dyDescent="0.3">
      <c r="A2" s="4" t="s">
        <v>23</v>
      </c>
      <c r="B2" t="s">
        <v>22</v>
      </c>
    </row>
    <row r="3" spans="1:2" x14ac:dyDescent="0.3">
      <c r="A3" s="5" t="s">
        <v>27</v>
      </c>
      <c r="B3" s="25">
        <v>1281</v>
      </c>
    </row>
    <row r="4" spans="1:2" x14ac:dyDescent="0.3">
      <c r="A4" s="5" t="s">
        <v>28</v>
      </c>
      <c r="B4" s="25">
        <v>1032</v>
      </c>
    </row>
    <row r="5" spans="1:2" x14ac:dyDescent="0.3">
      <c r="A5" s="5" t="s">
        <v>29</v>
      </c>
      <c r="B5" s="25">
        <v>958</v>
      </c>
    </row>
    <row r="6" spans="1:2" x14ac:dyDescent="0.3">
      <c r="A6" s="5" t="s">
        <v>25</v>
      </c>
      <c r="B6" s="25">
        <v>1155</v>
      </c>
    </row>
    <row r="7" spans="1:2" x14ac:dyDescent="0.3">
      <c r="A7" s="5" t="s">
        <v>30</v>
      </c>
      <c r="B7" s="25">
        <v>1286</v>
      </c>
    </row>
    <row r="8" spans="1:2" x14ac:dyDescent="0.3">
      <c r="A8" s="5" t="s">
        <v>26</v>
      </c>
      <c r="B8" s="25">
        <v>1117</v>
      </c>
    </row>
    <row r="9" spans="1:2" x14ac:dyDescent="0.3">
      <c r="A9" s="5" t="s">
        <v>24</v>
      </c>
      <c r="B9" s="25">
        <v>6829</v>
      </c>
    </row>
    <row r="18" spans="2:14" ht="21" x14ac:dyDescent="0.4">
      <c r="B18" s="14" t="s">
        <v>79</v>
      </c>
      <c r="C18" s="14"/>
      <c r="D18" s="14"/>
      <c r="E18" s="14"/>
      <c r="F18" s="14"/>
      <c r="G18" s="14"/>
      <c r="H18" s="14"/>
      <c r="I18" s="14"/>
      <c r="J18" s="14"/>
      <c r="K18" s="14"/>
      <c r="L18" s="14"/>
      <c r="M18" s="14"/>
      <c r="N18" s="14"/>
    </row>
    <row r="19" spans="2:14" x14ac:dyDescent="0.3">
      <c r="B19" s="9" t="s">
        <v>62</v>
      </c>
      <c r="C19" s="9"/>
      <c r="D19" s="9"/>
      <c r="E19" s="9"/>
      <c r="F19" s="9"/>
      <c r="G19" s="9"/>
      <c r="H19" s="9"/>
      <c r="I19" s="9"/>
      <c r="J19" s="9"/>
      <c r="K19" s="9"/>
      <c r="L19" s="9"/>
      <c r="M19" s="9"/>
      <c r="N19" s="9"/>
    </row>
    <row r="20" spans="2:14" x14ac:dyDescent="0.3">
      <c r="B20" s="9"/>
      <c r="C20" s="9"/>
      <c r="D20" s="9"/>
      <c r="E20" s="9"/>
      <c r="F20" s="9"/>
      <c r="G20" s="9"/>
      <c r="H20" s="9"/>
      <c r="I20" s="9"/>
      <c r="J20" s="9"/>
      <c r="K20" s="9"/>
      <c r="L20" s="9"/>
      <c r="M20" s="9"/>
      <c r="N20" s="9"/>
    </row>
    <row r="21" spans="2:14" x14ac:dyDescent="0.3">
      <c r="B21" s="9" t="s">
        <v>69</v>
      </c>
      <c r="C21" s="9"/>
      <c r="D21" s="9"/>
      <c r="E21" s="9"/>
      <c r="F21" s="9"/>
      <c r="G21" s="9"/>
      <c r="H21" s="9"/>
      <c r="I21" s="9"/>
      <c r="J21" s="9"/>
      <c r="K21" s="9"/>
      <c r="L21" s="9"/>
      <c r="M21" s="9"/>
      <c r="N21" s="9"/>
    </row>
    <row r="22" spans="2:14" x14ac:dyDescent="0.3">
      <c r="B22" s="9" t="s">
        <v>70</v>
      </c>
      <c r="C22" s="9"/>
      <c r="D22" s="9"/>
      <c r="E22" s="9"/>
      <c r="F22" s="9"/>
      <c r="G22" s="9"/>
      <c r="H22" s="9"/>
      <c r="I22" s="9"/>
      <c r="J22" s="9"/>
      <c r="K22" s="9"/>
      <c r="L22" s="9"/>
      <c r="M22" s="9"/>
      <c r="N22" s="9"/>
    </row>
    <row r="23" spans="2:14" x14ac:dyDescent="0.3">
      <c r="B23" s="9" t="s">
        <v>71</v>
      </c>
      <c r="C23" s="9"/>
      <c r="D23" s="9"/>
      <c r="E23" s="9"/>
      <c r="F23" s="9"/>
      <c r="G23" s="9"/>
      <c r="H23" s="9"/>
      <c r="I23" s="9"/>
      <c r="J23" s="9"/>
      <c r="K23" s="9"/>
      <c r="L23" s="9"/>
      <c r="M23" s="9"/>
      <c r="N23" s="9"/>
    </row>
    <row r="24" spans="2:14" x14ac:dyDescent="0.3">
      <c r="B24" s="9"/>
      <c r="C24" s="9"/>
      <c r="D24" s="9"/>
      <c r="E24" s="9"/>
      <c r="F24" s="9"/>
      <c r="G24" s="9"/>
      <c r="H24" s="9"/>
      <c r="I24" s="9"/>
      <c r="J24" s="9"/>
      <c r="K24" s="9"/>
      <c r="L24" s="9"/>
      <c r="M24" s="9"/>
      <c r="N24" s="9"/>
    </row>
    <row r="25" spans="2:14" x14ac:dyDescent="0.3">
      <c r="B25" s="9" t="s">
        <v>72</v>
      </c>
      <c r="C25" s="9"/>
      <c r="D25" s="9"/>
      <c r="E25" s="9"/>
      <c r="F25" s="9"/>
      <c r="G25" s="9"/>
      <c r="H25" s="9"/>
      <c r="I25" s="9"/>
      <c r="J25" s="9"/>
      <c r="K25" s="9"/>
      <c r="L25" s="9"/>
      <c r="M25" s="9"/>
      <c r="N25" s="9"/>
    </row>
    <row r="26" spans="2:14" x14ac:dyDescent="0.3">
      <c r="B26" s="9"/>
      <c r="C26" s="9"/>
      <c r="D26" s="9"/>
      <c r="E26" s="9"/>
      <c r="F26" s="9"/>
      <c r="G26" s="9"/>
      <c r="H26" s="9"/>
      <c r="I26" s="9"/>
      <c r="J26" s="9"/>
      <c r="K26" s="9"/>
      <c r="L26" s="9"/>
      <c r="M26" s="9"/>
      <c r="N26" s="9"/>
    </row>
    <row r="27" spans="2:14" x14ac:dyDescent="0.3">
      <c r="B27" s="9" t="s">
        <v>73</v>
      </c>
      <c r="C27" s="9"/>
      <c r="D27" s="9"/>
      <c r="E27" s="9"/>
      <c r="F27" s="9"/>
      <c r="G27" s="9"/>
      <c r="H27" s="9"/>
      <c r="I27" s="9"/>
      <c r="J27" s="9"/>
      <c r="K27" s="9"/>
      <c r="L27" s="9"/>
      <c r="M27" s="9"/>
      <c r="N27" s="9"/>
    </row>
    <row r="28" spans="2:14" x14ac:dyDescent="0.3">
      <c r="B28" s="9" t="s">
        <v>63</v>
      </c>
      <c r="C28" s="9"/>
      <c r="D28" s="9"/>
      <c r="E28" s="9"/>
      <c r="F28" s="9"/>
      <c r="G28" s="9"/>
      <c r="H28" s="9"/>
      <c r="I28" s="9"/>
      <c r="J28" s="9"/>
      <c r="K28" s="9"/>
      <c r="L28" s="9"/>
      <c r="M28" s="9"/>
      <c r="N28" s="9"/>
    </row>
    <row r="29" spans="2:14" x14ac:dyDescent="0.3">
      <c r="B29" s="9" t="s">
        <v>74</v>
      </c>
      <c r="C29" s="9"/>
      <c r="D29" s="9"/>
      <c r="E29" s="9"/>
      <c r="F29" s="9"/>
      <c r="G29" s="9"/>
      <c r="H29" s="9"/>
      <c r="I29" s="9"/>
      <c r="J29" s="9"/>
      <c r="K29" s="9"/>
      <c r="L29" s="9"/>
      <c r="M29" s="9"/>
      <c r="N29" s="9"/>
    </row>
    <row r="30" spans="2:14" x14ac:dyDescent="0.3">
      <c r="B30" s="9" t="s">
        <v>75</v>
      </c>
      <c r="C30" s="9"/>
      <c r="D30" s="9"/>
      <c r="E30" s="9"/>
      <c r="F30" s="9"/>
      <c r="G30" s="9"/>
      <c r="H30" s="9"/>
      <c r="I30" s="9"/>
      <c r="J30" s="9"/>
      <c r="K30" s="9"/>
      <c r="L30" s="9"/>
      <c r="M30" s="9"/>
      <c r="N30" s="9"/>
    </row>
    <row r="31" spans="2:14" x14ac:dyDescent="0.3">
      <c r="B31" s="9"/>
      <c r="C31" s="9"/>
      <c r="D31" s="9"/>
      <c r="E31" s="9"/>
      <c r="F31" s="9"/>
      <c r="G31" s="9"/>
      <c r="H31" s="9"/>
      <c r="I31" s="9"/>
      <c r="J31" s="9"/>
      <c r="K31" s="9"/>
      <c r="L31" s="9"/>
      <c r="M31" s="9"/>
      <c r="N31" s="9"/>
    </row>
    <row r="32" spans="2:14" x14ac:dyDescent="0.3">
      <c r="B32" s="9" t="s">
        <v>76</v>
      </c>
      <c r="C32" s="9"/>
      <c r="D32" s="9"/>
      <c r="E32" s="9"/>
      <c r="F32" s="9"/>
      <c r="G32" s="9"/>
      <c r="H32" s="9"/>
      <c r="I32" s="9"/>
      <c r="J32" s="9"/>
      <c r="K32" s="9"/>
      <c r="L32" s="9"/>
      <c r="M32" s="9"/>
      <c r="N32" s="9"/>
    </row>
    <row r="33" spans="2:14" x14ac:dyDescent="0.3">
      <c r="B33" s="9"/>
      <c r="C33" s="9"/>
      <c r="D33" s="9"/>
      <c r="E33" s="9"/>
      <c r="F33" s="9"/>
      <c r="G33" s="9"/>
      <c r="H33" s="9"/>
      <c r="I33" s="9"/>
      <c r="J33" s="9"/>
      <c r="K33" s="9"/>
      <c r="L33" s="9"/>
      <c r="M33" s="9"/>
      <c r="N33" s="9"/>
    </row>
    <row r="34" spans="2:14" x14ac:dyDescent="0.3">
      <c r="B34" s="9" t="s">
        <v>77</v>
      </c>
      <c r="C34" s="9"/>
      <c r="D34" s="9"/>
      <c r="E34" s="9"/>
      <c r="F34" s="9"/>
      <c r="G34" s="9"/>
      <c r="H34" s="9"/>
      <c r="I34" s="9"/>
      <c r="J34" s="9"/>
      <c r="K34" s="9"/>
      <c r="L34" s="9"/>
      <c r="M34" s="9"/>
      <c r="N34" s="9"/>
    </row>
    <row r="35" spans="2:14" x14ac:dyDescent="0.3">
      <c r="B35" s="9" t="s">
        <v>64</v>
      </c>
      <c r="C35" s="9"/>
      <c r="D35" s="9"/>
      <c r="E35" s="9"/>
      <c r="F35" s="9"/>
      <c r="G35" s="9"/>
      <c r="H35" s="9"/>
      <c r="I35" s="9"/>
      <c r="J35" s="9"/>
      <c r="K35" s="9"/>
      <c r="L35" s="9"/>
      <c r="M35" s="9"/>
      <c r="N35" s="9"/>
    </row>
    <row r="36" spans="2:14" x14ac:dyDescent="0.3">
      <c r="B36" s="9" t="s">
        <v>78</v>
      </c>
      <c r="C36" s="9"/>
      <c r="D36" s="9"/>
      <c r="E36" s="9"/>
      <c r="F36" s="9"/>
      <c r="G36" s="9"/>
      <c r="H36" s="9"/>
      <c r="I36" s="9"/>
      <c r="J36" s="9"/>
      <c r="K36" s="9"/>
      <c r="L36" s="9"/>
      <c r="M36" s="9"/>
      <c r="N36" s="9"/>
    </row>
    <row r="37" spans="2:14" x14ac:dyDescent="0.3">
      <c r="B37" s="9"/>
      <c r="C37" s="9"/>
      <c r="D37" s="9"/>
      <c r="E37" s="9"/>
      <c r="F37" s="9"/>
      <c r="G37" s="9"/>
      <c r="H37" s="9"/>
      <c r="I37" s="9"/>
      <c r="J37" s="9"/>
      <c r="K37" s="9"/>
      <c r="L37" s="9"/>
      <c r="M37" s="9"/>
      <c r="N37" s="9"/>
    </row>
    <row r="38" spans="2:14" x14ac:dyDescent="0.3">
      <c r="B38" s="9" t="s">
        <v>65</v>
      </c>
      <c r="C38" s="9"/>
      <c r="D38" s="9"/>
      <c r="E38" s="9"/>
      <c r="F38" s="9"/>
      <c r="G38" s="9"/>
      <c r="H38" s="9"/>
      <c r="I38" s="9"/>
      <c r="J38" s="9"/>
      <c r="K38" s="9"/>
      <c r="L38" s="9"/>
      <c r="M38" s="9"/>
      <c r="N38" s="9"/>
    </row>
    <row r="39" spans="2:14" x14ac:dyDescent="0.3">
      <c r="B39" s="9" t="s">
        <v>66</v>
      </c>
      <c r="C39" s="9"/>
      <c r="D39" s="9"/>
      <c r="E39" s="9"/>
      <c r="F39" s="9"/>
      <c r="G39" s="9"/>
      <c r="H39" s="9"/>
      <c r="I39" s="9"/>
      <c r="J39" s="9"/>
      <c r="K39" s="9"/>
      <c r="L39" s="9"/>
      <c r="M39" s="9"/>
      <c r="N39" s="9"/>
    </row>
    <row r="40" spans="2:14" x14ac:dyDescent="0.3">
      <c r="B40" s="9" t="s">
        <v>67</v>
      </c>
      <c r="C40" s="9"/>
      <c r="D40" s="9"/>
      <c r="E40" s="9"/>
      <c r="F40" s="9"/>
      <c r="G40" s="9"/>
      <c r="H40" s="9"/>
      <c r="I40" s="9"/>
      <c r="J40" s="9"/>
      <c r="K40" s="9"/>
      <c r="L40" s="9"/>
      <c r="M40" s="9"/>
      <c r="N40" s="9"/>
    </row>
    <row r="41" spans="2:14" x14ac:dyDescent="0.3">
      <c r="B41" s="9" t="s">
        <v>68</v>
      </c>
      <c r="C41" s="9"/>
      <c r="D41" s="9"/>
      <c r="E41" s="9"/>
      <c r="F41" s="9"/>
      <c r="G41" s="9"/>
      <c r="H41" s="9"/>
      <c r="I41" s="9"/>
      <c r="J41" s="9"/>
      <c r="K41" s="9"/>
      <c r="L41" s="9"/>
      <c r="M41" s="9"/>
      <c r="N41" s="9"/>
    </row>
    <row r="42" spans="2:14" x14ac:dyDescent="0.3">
      <c r="B42" s="9"/>
      <c r="C42" s="9"/>
      <c r="D42" s="9"/>
      <c r="E42" s="9"/>
      <c r="F42" s="9"/>
      <c r="G42" s="9"/>
      <c r="H42" s="9"/>
      <c r="I42" s="9"/>
      <c r="J42" s="9"/>
      <c r="K42" s="9"/>
      <c r="L42" s="9"/>
      <c r="M42" s="9"/>
      <c r="N42" s="9"/>
    </row>
  </sheetData>
  <mergeCells count="1">
    <mergeCell ref="B18:N18"/>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E2247-1EB0-41D6-B93F-C211BABD2B90}">
  <dimension ref="A3:B8"/>
  <sheetViews>
    <sheetView workbookViewId="0">
      <selection activeCell="B6" sqref="B6"/>
    </sheetView>
  </sheetViews>
  <sheetFormatPr defaultRowHeight="14.4" x14ac:dyDescent="0.3"/>
  <cols>
    <col min="1" max="1" width="12.5546875" bestFit="1" customWidth="1"/>
    <col min="2" max="2" width="11.6640625" bestFit="1" customWidth="1"/>
  </cols>
  <sheetData>
    <row r="3" spans="1:2" x14ac:dyDescent="0.3">
      <c r="A3" s="4" t="s">
        <v>23</v>
      </c>
      <c r="B3" t="s">
        <v>22</v>
      </c>
    </row>
    <row r="4" spans="1:2" x14ac:dyDescent="0.3">
      <c r="A4" s="5" t="s">
        <v>10</v>
      </c>
      <c r="B4" s="25">
        <v>467</v>
      </c>
    </row>
    <row r="5" spans="1:2" x14ac:dyDescent="0.3">
      <c r="A5" s="5" t="s">
        <v>11</v>
      </c>
      <c r="B5" s="25">
        <v>347</v>
      </c>
    </row>
    <row r="6" spans="1:2" x14ac:dyDescent="0.3">
      <c r="A6" s="5" t="s">
        <v>7</v>
      </c>
      <c r="B6" s="25">
        <v>2518</v>
      </c>
    </row>
    <row r="7" spans="1:2" x14ac:dyDescent="0.3">
      <c r="A7" s="5" t="s">
        <v>5</v>
      </c>
      <c r="B7" s="25">
        <v>3497</v>
      </c>
    </row>
    <row r="8" spans="1:2" x14ac:dyDescent="0.3">
      <c r="A8" s="5" t="s">
        <v>24</v>
      </c>
      <c r="B8" s="25">
        <v>6829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C547B-8E0F-42DA-9AD6-E697CB85CA24}">
  <dimension ref="A3:I18"/>
  <sheetViews>
    <sheetView workbookViewId="0">
      <selection activeCell="A13" sqref="A13:I18"/>
    </sheetView>
  </sheetViews>
  <sheetFormatPr defaultRowHeight="14.4" x14ac:dyDescent="0.3"/>
  <cols>
    <col min="1" max="1" width="12.5546875" bestFit="1" customWidth="1"/>
    <col min="2" max="2" width="14.88671875" bestFit="1" customWidth="1"/>
    <col min="3" max="5" width="8.88671875" customWidth="1"/>
  </cols>
  <sheetData>
    <row r="3" spans="1:9" x14ac:dyDescent="0.3">
      <c r="A3" s="4" t="s">
        <v>23</v>
      </c>
      <c r="B3" t="s">
        <v>80</v>
      </c>
    </row>
    <row r="4" spans="1:9" x14ac:dyDescent="0.3">
      <c r="A4" s="5" t="s">
        <v>27</v>
      </c>
      <c r="B4">
        <v>320.25</v>
      </c>
    </row>
    <row r="5" spans="1:9" x14ac:dyDescent="0.3">
      <c r="A5" s="5" t="s">
        <v>28</v>
      </c>
      <c r="B5">
        <v>344</v>
      </c>
    </row>
    <row r="6" spans="1:9" x14ac:dyDescent="0.3">
      <c r="A6" s="5" t="s">
        <v>29</v>
      </c>
      <c r="B6" s="10">
        <v>319.33333333333331</v>
      </c>
    </row>
    <row r="7" spans="1:9" x14ac:dyDescent="0.3">
      <c r="A7" s="5" t="s">
        <v>25</v>
      </c>
      <c r="B7">
        <v>385</v>
      </c>
    </row>
    <row r="8" spans="1:9" x14ac:dyDescent="0.3">
      <c r="A8" s="5" t="s">
        <v>30</v>
      </c>
      <c r="B8" s="10">
        <v>428.66666666666669</v>
      </c>
    </row>
    <row r="9" spans="1:9" x14ac:dyDescent="0.3">
      <c r="A9" s="5" t="s">
        <v>26</v>
      </c>
      <c r="B9">
        <v>279.25</v>
      </c>
    </row>
    <row r="10" spans="1:9" x14ac:dyDescent="0.3">
      <c r="A10" s="5" t="s">
        <v>24</v>
      </c>
      <c r="B10">
        <v>341.45</v>
      </c>
    </row>
    <row r="13" spans="1:9" ht="14.4" customHeight="1" x14ac:dyDescent="0.3">
      <c r="A13" s="15" t="s">
        <v>81</v>
      </c>
      <c r="B13" s="15"/>
      <c r="C13" s="15"/>
      <c r="D13" s="15"/>
      <c r="E13" s="15"/>
      <c r="F13" s="15"/>
      <c r="G13" s="15"/>
      <c r="H13" s="15"/>
      <c r="I13" s="15"/>
    </row>
    <row r="14" spans="1:9" ht="14.4" customHeight="1" x14ac:dyDescent="0.3">
      <c r="A14" s="15"/>
      <c r="B14" s="15"/>
      <c r="C14" s="15"/>
      <c r="D14" s="15"/>
      <c r="E14" s="15"/>
      <c r="F14" s="15"/>
      <c r="G14" s="15"/>
      <c r="H14" s="15"/>
      <c r="I14" s="15"/>
    </row>
    <row r="15" spans="1:9" ht="14.4" customHeight="1" x14ac:dyDescent="0.3">
      <c r="A15" s="15"/>
      <c r="B15" s="15"/>
      <c r="C15" s="15"/>
      <c r="D15" s="15"/>
      <c r="E15" s="15"/>
      <c r="F15" s="15"/>
      <c r="G15" s="15"/>
      <c r="H15" s="15"/>
      <c r="I15" s="15"/>
    </row>
    <row r="16" spans="1:9" ht="14.4" customHeight="1" x14ac:dyDescent="0.3">
      <c r="A16" s="15"/>
      <c r="B16" s="15"/>
      <c r="C16" s="15"/>
      <c r="D16" s="15"/>
      <c r="E16" s="15"/>
      <c r="F16" s="15"/>
      <c r="G16" s="15"/>
      <c r="H16" s="15"/>
      <c r="I16" s="15"/>
    </row>
    <row r="17" spans="1:9" x14ac:dyDescent="0.3">
      <c r="A17" s="15"/>
      <c r="B17" s="15"/>
      <c r="C17" s="15"/>
      <c r="D17" s="15"/>
      <c r="E17" s="15"/>
      <c r="F17" s="15"/>
      <c r="G17" s="15"/>
      <c r="H17" s="15"/>
      <c r="I17" s="15"/>
    </row>
    <row r="18" spans="1:9" x14ac:dyDescent="0.3">
      <c r="A18" s="15"/>
      <c r="B18" s="15"/>
      <c r="C18" s="15"/>
      <c r="D18" s="15"/>
      <c r="E18" s="15"/>
      <c r="F18" s="15"/>
      <c r="G18" s="15"/>
      <c r="H18" s="15"/>
      <c r="I18" s="15"/>
    </row>
  </sheetData>
  <mergeCells count="1">
    <mergeCell ref="A13:I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BB9E9-84DC-4D1E-8EB9-A9846C150122}">
  <dimension ref="A3:J22"/>
  <sheetViews>
    <sheetView workbookViewId="0">
      <selection activeCell="A23" sqref="A23"/>
    </sheetView>
  </sheetViews>
  <sheetFormatPr defaultRowHeight="14.4" x14ac:dyDescent="0.3"/>
  <cols>
    <col min="1" max="1" width="12.5546875" bestFit="1" customWidth="1"/>
    <col min="2" max="2" width="11.6640625" bestFit="1" customWidth="1"/>
  </cols>
  <sheetData>
    <row r="3" spans="1:2" x14ac:dyDescent="0.3">
      <c r="A3" s="4" t="s">
        <v>23</v>
      </c>
      <c r="B3" t="s">
        <v>22</v>
      </c>
    </row>
    <row r="4" spans="1:2" x14ac:dyDescent="0.3">
      <c r="A4" s="5" t="s">
        <v>84</v>
      </c>
      <c r="B4" s="25">
        <v>4308</v>
      </c>
    </row>
    <row r="5" spans="1:2" x14ac:dyDescent="0.3">
      <c r="A5" s="5" t="s">
        <v>6</v>
      </c>
      <c r="B5" s="25">
        <v>2521</v>
      </c>
    </row>
    <row r="6" spans="1:2" x14ac:dyDescent="0.3">
      <c r="A6" s="5" t="s">
        <v>24</v>
      </c>
      <c r="B6" s="25">
        <v>6829</v>
      </c>
    </row>
    <row r="19" spans="1:10" x14ac:dyDescent="0.3">
      <c r="A19" s="15" t="s">
        <v>85</v>
      </c>
      <c r="B19" s="15"/>
      <c r="C19" s="15"/>
      <c r="D19" s="15"/>
      <c r="E19" s="15"/>
      <c r="F19" s="15"/>
      <c r="G19" s="15"/>
      <c r="H19" s="15"/>
      <c r="I19" s="15"/>
      <c r="J19" s="15"/>
    </row>
    <row r="20" spans="1:10" x14ac:dyDescent="0.3">
      <c r="A20" s="15"/>
      <c r="B20" s="15"/>
      <c r="C20" s="15"/>
      <c r="D20" s="15"/>
      <c r="E20" s="15"/>
      <c r="F20" s="15"/>
      <c r="G20" s="15"/>
      <c r="H20" s="15"/>
      <c r="I20" s="15"/>
      <c r="J20" s="15"/>
    </row>
    <row r="21" spans="1:10" x14ac:dyDescent="0.3">
      <c r="A21" s="15"/>
      <c r="B21" s="15"/>
      <c r="C21" s="15"/>
      <c r="D21" s="15"/>
      <c r="E21" s="15"/>
      <c r="F21" s="15"/>
      <c r="G21" s="15"/>
      <c r="H21" s="15"/>
      <c r="I21" s="15"/>
      <c r="J21" s="15"/>
    </row>
    <row r="22" spans="1:10" x14ac:dyDescent="0.3">
      <c r="A22" s="15"/>
      <c r="B22" s="15"/>
      <c r="C22" s="15"/>
      <c r="D22" s="15"/>
      <c r="E22" s="15"/>
      <c r="F22" s="15"/>
      <c r="G22" s="15"/>
      <c r="H22" s="15"/>
      <c r="I22" s="15"/>
      <c r="J22" s="15"/>
    </row>
  </sheetData>
  <mergeCells count="1">
    <mergeCell ref="A19:J2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65E08-DC07-4D1E-B491-4CBB8852AA58}">
  <sheetPr filterMode="1"/>
  <dimension ref="A2:M174"/>
  <sheetViews>
    <sheetView tabSelected="1" zoomScale="90" zoomScaleNormal="90" workbookViewId="0">
      <selection activeCell="G15" sqref="G15"/>
    </sheetView>
  </sheetViews>
  <sheetFormatPr defaultRowHeight="14.4" x14ac:dyDescent="0.3"/>
  <cols>
    <col min="1" max="1" width="22" customWidth="1"/>
    <col min="2" max="2" width="10.33203125" customWidth="1"/>
    <col min="3" max="3" width="11.6640625" customWidth="1"/>
    <col min="4" max="4" width="10.44140625" customWidth="1"/>
    <col min="5" max="5" width="10.77734375" customWidth="1"/>
    <col min="6" max="6" width="10.5546875" customWidth="1"/>
    <col min="13" max="13" width="22.5546875" customWidth="1"/>
  </cols>
  <sheetData>
    <row r="2" spans="1:5" ht="15.6" x14ac:dyDescent="0.3">
      <c r="A2" s="1" t="s">
        <v>0</v>
      </c>
      <c r="B2" s="1" t="s">
        <v>1</v>
      </c>
      <c r="C2" s="1" t="s">
        <v>2</v>
      </c>
      <c r="D2" s="1" t="s">
        <v>3</v>
      </c>
      <c r="E2" s="1" t="s">
        <v>4</v>
      </c>
    </row>
    <row r="3" spans="1:5" ht="15.6" x14ac:dyDescent="0.3">
      <c r="A3" s="2">
        <v>45292</v>
      </c>
      <c r="B3" s="3" t="s">
        <v>5</v>
      </c>
      <c r="C3" s="3" t="s">
        <v>6</v>
      </c>
      <c r="D3" s="3">
        <v>456</v>
      </c>
      <c r="E3" s="3">
        <v>93</v>
      </c>
    </row>
    <row r="4" spans="1:5" ht="15.6" x14ac:dyDescent="0.3">
      <c r="A4" s="2">
        <v>45301.526319444441</v>
      </c>
      <c r="B4" s="3" t="s">
        <v>7</v>
      </c>
      <c r="C4" s="3" t="s">
        <v>8</v>
      </c>
      <c r="D4" s="3">
        <v>348</v>
      </c>
      <c r="E4" s="3">
        <v>56</v>
      </c>
    </row>
    <row r="5" spans="1:5" ht="15.6" x14ac:dyDescent="0.3">
      <c r="A5" s="2">
        <v>45311.052627314813</v>
      </c>
      <c r="B5" s="3" t="s">
        <v>7</v>
      </c>
      <c r="C5" s="3" t="s">
        <v>6</v>
      </c>
      <c r="D5" s="3">
        <v>247</v>
      </c>
      <c r="E5" s="3">
        <v>76</v>
      </c>
    </row>
    <row r="6" spans="1:5" ht="15.6" x14ac:dyDescent="0.3">
      <c r="A6" s="2">
        <v>45320.578946759262</v>
      </c>
      <c r="B6" s="3" t="s">
        <v>5</v>
      </c>
      <c r="C6" s="3" t="s">
        <v>9</v>
      </c>
      <c r="D6" s="3">
        <v>230</v>
      </c>
      <c r="E6" s="3">
        <v>37</v>
      </c>
    </row>
    <row r="7" spans="1:5" ht="15.6" x14ac:dyDescent="0.3">
      <c r="A7" s="2">
        <v>45330.105266203704</v>
      </c>
      <c r="B7" s="3" t="s">
        <v>5</v>
      </c>
      <c r="C7" s="3" t="s">
        <v>6</v>
      </c>
      <c r="D7" s="3">
        <v>281</v>
      </c>
      <c r="E7" s="3">
        <v>50</v>
      </c>
    </row>
    <row r="8" spans="1:5" ht="15.6" x14ac:dyDescent="0.3">
      <c r="A8" s="2">
        <v>45339.631574074076</v>
      </c>
      <c r="B8" s="3" t="s">
        <v>5</v>
      </c>
      <c r="C8" s="3" t="s">
        <v>8</v>
      </c>
      <c r="D8" s="3">
        <v>334</v>
      </c>
      <c r="E8" s="3">
        <v>52</v>
      </c>
    </row>
    <row r="9" spans="1:5" ht="15.6" x14ac:dyDescent="0.3">
      <c r="A9" s="2">
        <v>45349.157893518517</v>
      </c>
      <c r="B9" s="3" t="s">
        <v>7</v>
      </c>
      <c r="C9" s="3" t="s">
        <v>9</v>
      </c>
      <c r="D9" s="3">
        <v>417</v>
      </c>
      <c r="E9" s="3">
        <v>29</v>
      </c>
    </row>
    <row r="10" spans="1:5" ht="15.6" x14ac:dyDescent="0.3">
      <c r="A10" s="2">
        <v>45358.684212962966</v>
      </c>
      <c r="B10" s="3" t="s">
        <v>5</v>
      </c>
      <c r="C10" s="3" t="s">
        <v>9</v>
      </c>
      <c r="D10" s="3">
        <v>441</v>
      </c>
      <c r="E10" s="3">
        <v>44</v>
      </c>
    </row>
    <row r="11" spans="1:5" ht="15.6" x14ac:dyDescent="0.3">
      <c r="A11" s="2">
        <v>45368.210520833331</v>
      </c>
      <c r="B11" s="3" t="s">
        <v>7</v>
      </c>
      <c r="C11" s="3" t="s">
        <v>6</v>
      </c>
      <c r="D11" s="3">
        <v>76</v>
      </c>
      <c r="E11" s="3">
        <v>63</v>
      </c>
    </row>
    <row r="12" spans="1:5" ht="15.6" x14ac:dyDescent="0.3">
      <c r="A12" s="2">
        <v>45377.736840277779</v>
      </c>
      <c r="B12" s="3" t="s">
        <v>5</v>
      </c>
      <c r="C12" s="3" t="s">
        <v>8</v>
      </c>
      <c r="D12" s="3">
        <v>441</v>
      </c>
      <c r="E12" s="3">
        <v>79</v>
      </c>
    </row>
    <row r="13" spans="1:5" ht="15.6" x14ac:dyDescent="0.3">
      <c r="A13" s="2">
        <v>45387.263159722221</v>
      </c>
      <c r="B13" s="3" t="s">
        <v>7</v>
      </c>
      <c r="C13" s="3" t="s">
        <v>6</v>
      </c>
      <c r="D13" s="3">
        <v>205</v>
      </c>
      <c r="E13" s="3">
        <v>23</v>
      </c>
    </row>
    <row r="14" spans="1:5" ht="15.6" x14ac:dyDescent="0.3">
      <c r="A14" s="2">
        <v>45396.789479166669</v>
      </c>
      <c r="B14" s="3" t="s">
        <v>5</v>
      </c>
      <c r="C14" s="3" t="s">
        <v>8</v>
      </c>
      <c r="D14" s="3">
        <v>483</v>
      </c>
      <c r="E14" s="3">
        <v>97</v>
      </c>
    </row>
    <row r="15" spans="1:5" ht="15.6" x14ac:dyDescent="0.3">
      <c r="A15" s="2">
        <v>45406.315787037034</v>
      </c>
      <c r="B15" s="3" t="s">
        <v>10</v>
      </c>
      <c r="C15" s="3" t="s">
        <v>6</v>
      </c>
      <c r="D15" s="3">
        <v>467</v>
      </c>
      <c r="E15" s="3">
        <v>97</v>
      </c>
    </row>
    <row r="16" spans="1:5" ht="15.6" x14ac:dyDescent="0.3">
      <c r="A16" s="2">
        <v>45415.842106481483</v>
      </c>
      <c r="B16" s="3" t="s">
        <v>5</v>
      </c>
      <c r="C16" s="3" t="s">
        <v>6</v>
      </c>
      <c r="D16" s="3">
        <v>380</v>
      </c>
      <c r="E16" s="3">
        <v>92</v>
      </c>
    </row>
    <row r="17" spans="1:7" ht="15.6" x14ac:dyDescent="0.3">
      <c r="A17" s="2">
        <v>45425.368425925924</v>
      </c>
      <c r="B17" s="3" t="s">
        <v>7</v>
      </c>
      <c r="C17" s="3" t="s">
        <v>8</v>
      </c>
      <c r="D17" s="3">
        <v>497</v>
      </c>
      <c r="E17" s="3">
        <v>71</v>
      </c>
    </row>
    <row r="18" spans="1:7" ht="15.6" x14ac:dyDescent="0.3">
      <c r="A18" s="2">
        <v>45434.894733796296</v>
      </c>
      <c r="B18" s="3" t="s">
        <v>7</v>
      </c>
      <c r="C18" s="3" t="s">
        <v>6</v>
      </c>
      <c r="D18" s="3">
        <v>409</v>
      </c>
      <c r="E18" s="3">
        <v>81</v>
      </c>
    </row>
    <row r="19" spans="1:7" ht="15.6" x14ac:dyDescent="0.3">
      <c r="A19" s="2">
        <v>45444.421053240738</v>
      </c>
      <c r="B19" s="3" t="s">
        <v>5</v>
      </c>
      <c r="C19" s="3" t="s">
        <v>8</v>
      </c>
      <c r="D19" s="3">
        <v>53</v>
      </c>
      <c r="E19" s="3">
        <v>45</v>
      </c>
    </row>
    <row r="20" spans="1:7" ht="15.6" x14ac:dyDescent="0.3">
      <c r="A20" s="2">
        <v>45453.947372685187</v>
      </c>
      <c r="B20" s="3" t="s">
        <v>5</v>
      </c>
      <c r="C20" s="3" t="s">
        <v>9</v>
      </c>
      <c r="D20" s="3">
        <v>398</v>
      </c>
      <c r="E20" s="3">
        <v>33</v>
      </c>
    </row>
    <row r="21" spans="1:7" ht="15.6" x14ac:dyDescent="0.3">
      <c r="A21" s="2">
        <v>45463.473680555559</v>
      </c>
      <c r="B21" s="3" t="s">
        <v>11</v>
      </c>
      <c r="C21" s="3" t="s">
        <v>8</v>
      </c>
      <c r="D21" s="3">
        <v>347</v>
      </c>
      <c r="E21" s="3">
        <v>35</v>
      </c>
    </row>
    <row r="22" spans="1:7" ht="15.6" x14ac:dyDescent="0.3">
      <c r="A22" s="2">
        <v>45473</v>
      </c>
      <c r="B22" s="3" t="s">
        <v>7</v>
      </c>
      <c r="C22" s="3" t="s">
        <v>9</v>
      </c>
      <c r="D22" s="3">
        <v>319</v>
      </c>
      <c r="E22" s="3">
        <v>45</v>
      </c>
    </row>
    <row r="26" spans="1:7" ht="15.6" x14ac:dyDescent="0.3">
      <c r="A26" s="17" t="s">
        <v>12</v>
      </c>
      <c r="B26" s="17"/>
    </row>
    <row r="28" spans="1:7" x14ac:dyDescent="0.3">
      <c r="A28" s="16" t="s">
        <v>21</v>
      </c>
      <c r="B28" s="16"/>
      <c r="C28" s="16"/>
      <c r="D28" s="16"/>
      <c r="E28" s="16"/>
      <c r="F28" s="16"/>
      <c r="G28" s="16"/>
    </row>
    <row r="30" spans="1:7" ht="15.6" x14ac:dyDescent="0.3">
      <c r="A30" s="18" t="s">
        <v>13</v>
      </c>
      <c r="B30" s="18"/>
    </row>
    <row r="32" spans="1:7" x14ac:dyDescent="0.3">
      <c r="A32" s="16" t="s">
        <v>20</v>
      </c>
      <c r="B32" s="16"/>
      <c r="C32" s="16"/>
      <c r="D32" s="16"/>
      <c r="E32" s="16"/>
      <c r="F32" s="16"/>
      <c r="G32" s="16"/>
    </row>
    <row r="34" spans="1:7" x14ac:dyDescent="0.3">
      <c r="A34" s="16" t="s">
        <v>19</v>
      </c>
      <c r="B34" s="16"/>
      <c r="C34" s="16"/>
      <c r="D34" s="16"/>
      <c r="E34" s="16"/>
      <c r="F34" s="16"/>
      <c r="G34" s="16"/>
    </row>
    <row r="36" spans="1:7" x14ac:dyDescent="0.3">
      <c r="A36" s="16" t="s">
        <v>18</v>
      </c>
      <c r="B36" s="16"/>
      <c r="C36" s="16"/>
      <c r="D36" s="16"/>
      <c r="E36" s="16"/>
      <c r="F36" s="16"/>
      <c r="G36" s="16"/>
    </row>
    <row r="38" spans="1:7" x14ac:dyDescent="0.3">
      <c r="A38" s="16" t="s">
        <v>17</v>
      </c>
      <c r="B38" s="16"/>
      <c r="C38" s="16"/>
      <c r="D38" s="16"/>
      <c r="E38" s="16"/>
      <c r="F38" s="16"/>
      <c r="G38" s="16"/>
    </row>
    <row r="40" spans="1:7" x14ac:dyDescent="0.3">
      <c r="A40" s="16" t="s">
        <v>16</v>
      </c>
      <c r="B40" s="16"/>
      <c r="C40" s="16"/>
      <c r="D40" s="16"/>
      <c r="E40" s="16"/>
      <c r="F40" s="16"/>
      <c r="G40" s="16"/>
    </row>
    <row r="42" spans="1:7" ht="15.6" x14ac:dyDescent="0.3">
      <c r="A42" s="17" t="s">
        <v>14</v>
      </c>
      <c r="B42" s="17"/>
    </row>
    <row r="44" spans="1:7" x14ac:dyDescent="0.3">
      <c r="A44" s="16" t="s">
        <v>15</v>
      </c>
      <c r="B44" s="16"/>
      <c r="C44" s="16"/>
      <c r="D44" s="16"/>
      <c r="E44" s="16"/>
      <c r="F44" s="16"/>
      <c r="G44" s="16"/>
    </row>
    <row r="47" spans="1:7" ht="15.6" x14ac:dyDescent="0.3">
      <c r="A47" s="18" t="s">
        <v>31</v>
      </c>
      <c r="B47" s="18"/>
      <c r="C47" s="18"/>
      <c r="D47" s="18"/>
      <c r="E47" s="18"/>
      <c r="F47" s="18"/>
    </row>
    <row r="49" spans="1:9" x14ac:dyDescent="0.3">
      <c r="A49" s="20" t="s">
        <v>32</v>
      </c>
      <c r="B49" s="20"/>
      <c r="C49" s="20"/>
    </row>
    <row r="51" spans="1:9" x14ac:dyDescent="0.3">
      <c r="A51" s="19" t="s">
        <v>34</v>
      </c>
      <c r="B51" s="19"/>
      <c r="C51" s="19"/>
      <c r="D51" s="19"/>
      <c r="E51" s="19"/>
    </row>
    <row r="53" spans="1:9" x14ac:dyDescent="0.3">
      <c r="A53" s="19" t="s">
        <v>35</v>
      </c>
      <c r="B53" s="19"/>
      <c r="C53" s="19"/>
      <c r="D53" s="19"/>
      <c r="E53" s="19"/>
    </row>
    <row r="55" spans="1:9" x14ac:dyDescent="0.3">
      <c r="A55" s="19" t="s">
        <v>36</v>
      </c>
      <c r="B55" s="19"/>
      <c r="C55" s="19"/>
      <c r="D55" s="19"/>
      <c r="E55" s="19"/>
    </row>
    <row r="58" spans="1:9" x14ac:dyDescent="0.3">
      <c r="A58" s="15" t="s">
        <v>37</v>
      </c>
      <c r="B58" s="15"/>
      <c r="C58" s="15"/>
      <c r="D58" s="15"/>
      <c r="E58" s="15"/>
      <c r="F58" s="15"/>
      <c r="G58" s="15"/>
      <c r="H58" s="15"/>
      <c r="I58" s="15"/>
    </row>
    <row r="59" spans="1:9" x14ac:dyDescent="0.3">
      <c r="A59" s="15"/>
      <c r="B59" s="15"/>
      <c r="C59" s="15"/>
      <c r="D59" s="15"/>
      <c r="E59" s="15"/>
      <c r="F59" s="15"/>
      <c r="G59" s="15"/>
      <c r="H59" s="15"/>
      <c r="I59" s="15"/>
    </row>
    <row r="60" spans="1:9" x14ac:dyDescent="0.3">
      <c r="A60" s="15"/>
      <c r="B60" s="15"/>
      <c r="C60" s="15"/>
      <c r="D60" s="15"/>
      <c r="E60" s="15"/>
      <c r="F60" s="15"/>
      <c r="G60" s="15"/>
      <c r="H60" s="15"/>
      <c r="I60" s="15"/>
    </row>
    <row r="61" spans="1:9" x14ac:dyDescent="0.3">
      <c r="A61" s="15"/>
      <c r="B61" s="15"/>
      <c r="C61" s="15"/>
      <c r="D61" s="15"/>
      <c r="E61" s="15"/>
      <c r="F61" s="15"/>
      <c r="G61" s="15"/>
      <c r="H61" s="15"/>
      <c r="I61" s="15"/>
    </row>
    <row r="64" spans="1:9" ht="15.6" x14ac:dyDescent="0.3">
      <c r="A64" s="18" t="s">
        <v>33</v>
      </c>
      <c r="B64" s="18"/>
      <c r="C64" s="18"/>
    </row>
    <row r="66" spans="1:13" x14ac:dyDescent="0.3">
      <c r="A66" s="19" t="s">
        <v>38</v>
      </c>
      <c r="B66" s="19"/>
      <c r="C66" s="19"/>
      <c r="D66" s="19"/>
      <c r="E66" s="19"/>
      <c r="F66" s="19"/>
      <c r="G66" s="19"/>
    </row>
    <row r="68" spans="1:13" x14ac:dyDescent="0.3">
      <c r="A68" s="19" t="s">
        <v>39</v>
      </c>
      <c r="B68" s="19"/>
      <c r="C68" s="19"/>
      <c r="D68" s="19"/>
      <c r="E68" s="19"/>
      <c r="F68" s="19"/>
      <c r="G68" s="19"/>
    </row>
    <row r="70" spans="1:13" x14ac:dyDescent="0.3">
      <c r="A70" s="19" t="s">
        <v>40</v>
      </c>
      <c r="B70" s="19"/>
      <c r="C70" s="19"/>
      <c r="D70" s="19"/>
      <c r="E70" s="19"/>
      <c r="F70" s="19"/>
      <c r="G70" s="19"/>
    </row>
    <row r="73" spans="1:13" ht="15.6" x14ac:dyDescent="0.3">
      <c r="A73" s="21" t="s">
        <v>44</v>
      </c>
      <c r="B73" s="21"/>
      <c r="C73" s="21"/>
      <c r="D73" s="21"/>
      <c r="E73" s="21"/>
      <c r="F73" s="21"/>
      <c r="G73" s="21"/>
      <c r="H73" s="21"/>
      <c r="I73" s="21"/>
      <c r="J73" s="21"/>
      <c r="K73" s="21"/>
      <c r="L73" s="21"/>
      <c r="M73" s="21"/>
    </row>
    <row r="74" spans="1:13" ht="14.4" customHeight="1" x14ac:dyDescent="0.3">
      <c r="A74" s="22" t="s">
        <v>43</v>
      </c>
      <c r="B74" s="22"/>
      <c r="C74" s="22"/>
      <c r="D74" s="22"/>
      <c r="E74" s="22"/>
      <c r="F74" s="22"/>
      <c r="G74" s="22"/>
      <c r="H74" s="22"/>
      <c r="I74" s="22"/>
      <c r="J74" s="22"/>
      <c r="K74" s="22"/>
      <c r="L74" s="22"/>
      <c r="M74" s="22"/>
    </row>
    <row r="75" spans="1:13" x14ac:dyDescent="0.3">
      <c r="A75" s="22"/>
      <c r="B75" s="22"/>
      <c r="C75" s="22"/>
      <c r="D75" s="22"/>
      <c r="E75" s="22"/>
      <c r="F75" s="22"/>
      <c r="G75" s="22"/>
      <c r="H75" s="22"/>
      <c r="I75" s="22"/>
      <c r="J75" s="22"/>
      <c r="K75" s="22"/>
      <c r="L75" s="22"/>
      <c r="M75" s="22"/>
    </row>
    <row r="76" spans="1:13" x14ac:dyDescent="0.3">
      <c r="A76" s="22"/>
      <c r="B76" s="22"/>
      <c r="C76" s="22"/>
      <c r="D76" s="22"/>
      <c r="E76" s="22"/>
      <c r="F76" s="22"/>
      <c r="G76" s="22"/>
      <c r="H76" s="22"/>
      <c r="I76" s="22"/>
      <c r="J76" s="22"/>
      <c r="K76" s="22"/>
      <c r="L76" s="22"/>
      <c r="M76" s="22"/>
    </row>
    <row r="77" spans="1:13" x14ac:dyDescent="0.3">
      <c r="A77" s="22"/>
      <c r="B77" s="22"/>
      <c r="C77" s="22"/>
      <c r="D77" s="22"/>
      <c r="E77" s="22"/>
      <c r="F77" s="22"/>
      <c r="G77" s="22"/>
      <c r="H77" s="22"/>
      <c r="I77" s="22"/>
      <c r="J77" s="22"/>
      <c r="K77" s="22"/>
      <c r="L77" s="22"/>
      <c r="M77" s="22"/>
    </row>
    <row r="78" spans="1:13" x14ac:dyDescent="0.3">
      <c r="A78" s="22"/>
      <c r="B78" s="22"/>
      <c r="C78" s="22"/>
      <c r="D78" s="22"/>
      <c r="E78" s="22"/>
      <c r="F78" s="22"/>
      <c r="G78" s="22"/>
      <c r="H78" s="22"/>
      <c r="I78" s="22"/>
      <c r="J78" s="22"/>
      <c r="K78" s="22"/>
      <c r="L78" s="22"/>
      <c r="M78" s="22"/>
    </row>
    <row r="81" spans="1:5" ht="15.6" x14ac:dyDescent="0.3">
      <c r="A81" s="1" t="s">
        <v>0</v>
      </c>
      <c r="B81" s="1" t="s">
        <v>1</v>
      </c>
      <c r="C81" s="1" t="s">
        <v>2</v>
      </c>
      <c r="D81" s="6" t="s">
        <v>3</v>
      </c>
      <c r="E81" s="1" t="s">
        <v>4</v>
      </c>
    </row>
    <row r="82" spans="1:5" ht="15.6" x14ac:dyDescent="0.3">
      <c r="A82" s="2">
        <v>45425.368425925924</v>
      </c>
      <c r="B82" s="3" t="s">
        <v>7</v>
      </c>
      <c r="C82" s="3" t="s">
        <v>8</v>
      </c>
      <c r="D82" s="7">
        <v>497</v>
      </c>
      <c r="E82" s="3">
        <v>71</v>
      </c>
    </row>
    <row r="83" spans="1:5" ht="15.6" x14ac:dyDescent="0.3">
      <c r="A83" s="2">
        <v>45396.789479166669</v>
      </c>
      <c r="B83" s="3" t="s">
        <v>5</v>
      </c>
      <c r="C83" s="3" t="s">
        <v>8</v>
      </c>
      <c r="D83" s="7">
        <v>483</v>
      </c>
      <c r="E83" s="3">
        <v>97</v>
      </c>
    </row>
    <row r="84" spans="1:5" ht="15.6" x14ac:dyDescent="0.3">
      <c r="A84" s="2">
        <v>45406.315787037034</v>
      </c>
      <c r="B84" s="3" t="s">
        <v>10</v>
      </c>
      <c r="C84" s="3" t="s">
        <v>6</v>
      </c>
      <c r="D84" s="7">
        <v>467</v>
      </c>
      <c r="E84" s="3">
        <v>97</v>
      </c>
    </row>
    <row r="85" spans="1:5" ht="15.6" x14ac:dyDescent="0.3">
      <c r="A85" s="2">
        <v>45292</v>
      </c>
      <c r="B85" s="3" t="s">
        <v>5</v>
      </c>
      <c r="C85" s="3" t="s">
        <v>6</v>
      </c>
      <c r="D85" s="7">
        <v>456</v>
      </c>
      <c r="E85" s="3">
        <v>93</v>
      </c>
    </row>
    <row r="86" spans="1:5" ht="15.6" x14ac:dyDescent="0.3">
      <c r="A86" s="2">
        <v>45358.684212962966</v>
      </c>
      <c r="B86" s="3" t="s">
        <v>5</v>
      </c>
      <c r="C86" s="3" t="s">
        <v>9</v>
      </c>
      <c r="D86" s="7">
        <v>441</v>
      </c>
      <c r="E86" s="3">
        <v>44</v>
      </c>
    </row>
    <row r="87" spans="1:5" ht="15.6" x14ac:dyDescent="0.3">
      <c r="A87" s="2">
        <v>45377.736840277779</v>
      </c>
      <c r="B87" s="3" t="s">
        <v>5</v>
      </c>
      <c r="C87" s="3" t="s">
        <v>8</v>
      </c>
      <c r="D87" s="7">
        <v>441</v>
      </c>
      <c r="E87" s="3">
        <v>79</v>
      </c>
    </row>
    <row r="88" spans="1:5" ht="15.6" x14ac:dyDescent="0.3">
      <c r="A88" s="2">
        <v>45349.157893518517</v>
      </c>
      <c r="B88" s="3" t="s">
        <v>7</v>
      </c>
      <c r="C88" s="3" t="s">
        <v>9</v>
      </c>
      <c r="D88" s="7">
        <v>417</v>
      </c>
      <c r="E88" s="3">
        <v>29</v>
      </c>
    </row>
    <row r="89" spans="1:5" ht="15.6" x14ac:dyDescent="0.3">
      <c r="A89" s="2">
        <v>45434.894733796296</v>
      </c>
      <c r="B89" s="3" t="s">
        <v>7</v>
      </c>
      <c r="C89" s="3" t="s">
        <v>6</v>
      </c>
      <c r="D89" s="7">
        <v>409</v>
      </c>
      <c r="E89" s="3">
        <v>81</v>
      </c>
    </row>
    <row r="90" spans="1:5" ht="15.6" x14ac:dyDescent="0.3">
      <c r="A90" s="2">
        <v>45453.947372685187</v>
      </c>
      <c r="B90" s="3" t="s">
        <v>5</v>
      </c>
      <c r="C90" s="3" t="s">
        <v>9</v>
      </c>
      <c r="D90" s="7">
        <v>398</v>
      </c>
      <c r="E90" s="3">
        <v>33</v>
      </c>
    </row>
    <row r="91" spans="1:5" ht="15.6" x14ac:dyDescent="0.3">
      <c r="A91" s="2">
        <v>45415.842106481483</v>
      </c>
      <c r="B91" s="3" t="s">
        <v>5</v>
      </c>
      <c r="C91" s="3" t="s">
        <v>6</v>
      </c>
      <c r="D91" s="7">
        <v>380</v>
      </c>
      <c r="E91" s="3">
        <v>92</v>
      </c>
    </row>
    <row r="92" spans="1:5" ht="15.6" x14ac:dyDescent="0.3">
      <c r="A92" s="2">
        <v>45301.526319444441</v>
      </c>
      <c r="B92" s="3" t="s">
        <v>7</v>
      </c>
      <c r="C92" s="3" t="s">
        <v>8</v>
      </c>
      <c r="D92" s="7">
        <v>348</v>
      </c>
      <c r="E92" s="3">
        <v>56</v>
      </c>
    </row>
    <row r="93" spans="1:5" ht="15.6" x14ac:dyDescent="0.3">
      <c r="A93" s="2">
        <v>45463.473680555559</v>
      </c>
      <c r="B93" s="3" t="s">
        <v>11</v>
      </c>
      <c r="C93" s="3" t="s">
        <v>8</v>
      </c>
      <c r="D93" s="7">
        <v>347</v>
      </c>
      <c r="E93" s="3">
        <v>35</v>
      </c>
    </row>
    <row r="94" spans="1:5" ht="15.6" x14ac:dyDescent="0.3">
      <c r="A94" s="2">
        <v>45339.631574074076</v>
      </c>
      <c r="B94" s="3" t="s">
        <v>5</v>
      </c>
      <c r="C94" s="3" t="s">
        <v>8</v>
      </c>
      <c r="D94" s="7">
        <v>334</v>
      </c>
      <c r="E94" s="3">
        <v>52</v>
      </c>
    </row>
    <row r="95" spans="1:5" ht="15.6" x14ac:dyDescent="0.3">
      <c r="A95" s="2">
        <v>45473</v>
      </c>
      <c r="B95" s="3" t="s">
        <v>7</v>
      </c>
      <c r="C95" s="3" t="s">
        <v>9</v>
      </c>
      <c r="D95" s="7">
        <v>319</v>
      </c>
      <c r="E95" s="3">
        <v>45</v>
      </c>
    </row>
    <row r="96" spans="1:5" ht="15.6" x14ac:dyDescent="0.3">
      <c r="A96" s="2">
        <v>45330.105266203704</v>
      </c>
      <c r="B96" s="3" t="s">
        <v>5</v>
      </c>
      <c r="C96" s="3" t="s">
        <v>6</v>
      </c>
      <c r="D96" s="7">
        <v>281</v>
      </c>
      <c r="E96" s="3">
        <v>50</v>
      </c>
    </row>
    <row r="97" spans="1:5" ht="15.6" x14ac:dyDescent="0.3">
      <c r="A97" s="2">
        <v>45311.052627314813</v>
      </c>
      <c r="B97" s="3" t="s">
        <v>7</v>
      </c>
      <c r="C97" s="3" t="s">
        <v>6</v>
      </c>
      <c r="D97" s="7">
        <v>247</v>
      </c>
      <c r="E97" s="3">
        <v>76</v>
      </c>
    </row>
    <row r="98" spans="1:5" ht="15.6" x14ac:dyDescent="0.3">
      <c r="A98" s="2">
        <v>45320.578946759262</v>
      </c>
      <c r="B98" s="3" t="s">
        <v>5</v>
      </c>
      <c r="C98" s="3" t="s">
        <v>9</v>
      </c>
      <c r="D98" s="7">
        <v>230</v>
      </c>
      <c r="E98" s="3">
        <v>37</v>
      </c>
    </row>
    <row r="99" spans="1:5" ht="15.6" x14ac:dyDescent="0.3">
      <c r="A99" s="2">
        <v>45387.263159722221</v>
      </c>
      <c r="B99" s="3" t="s">
        <v>7</v>
      </c>
      <c r="C99" s="3" t="s">
        <v>6</v>
      </c>
      <c r="D99" s="7">
        <v>205</v>
      </c>
      <c r="E99" s="3">
        <v>23</v>
      </c>
    </row>
    <row r="100" spans="1:5" ht="15.6" x14ac:dyDescent="0.3">
      <c r="A100" s="2">
        <v>45368.210520833331</v>
      </c>
      <c r="B100" s="3" t="s">
        <v>7</v>
      </c>
      <c r="C100" s="3" t="s">
        <v>6</v>
      </c>
      <c r="D100" s="7">
        <v>76</v>
      </c>
      <c r="E100" s="3">
        <v>63</v>
      </c>
    </row>
    <row r="101" spans="1:5" ht="15.6" x14ac:dyDescent="0.3">
      <c r="A101" s="2">
        <v>45444.421053240738</v>
      </c>
      <c r="B101" s="3" t="s">
        <v>5</v>
      </c>
      <c r="C101" s="3" t="s">
        <v>8</v>
      </c>
      <c r="D101" s="7">
        <v>53</v>
      </c>
      <c r="E101" s="3">
        <v>45</v>
      </c>
    </row>
    <row r="104" spans="1:5" ht="15.6" x14ac:dyDescent="0.3">
      <c r="A104" s="1" t="s">
        <v>0</v>
      </c>
      <c r="B104" s="1" t="s">
        <v>1</v>
      </c>
      <c r="C104" s="6" t="s">
        <v>2</v>
      </c>
      <c r="D104" s="1" t="s">
        <v>3</v>
      </c>
      <c r="E104" s="1" t="s">
        <v>4</v>
      </c>
    </row>
    <row r="105" spans="1:5" ht="15.6" x14ac:dyDescent="0.3">
      <c r="A105" s="2">
        <v>45292</v>
      </c>
      <c r="B105" s="3" t="s">
        <v>5</v>
      </c>
      <c r="C105" s="7" t="s">
        <v>6</v>
      </c>
      <c r="D105" s="3">
        <v>456</v>
      </c>
      <c r="E105" s="3">
        <v>93</v>
      </c>
    </row>
    <row r="106" spans="1:5" ht="15.6" hidden="1" x14ac:dyDescent="0.3">
      <c r="A106" s="2">
        <v>45301.526319444441</v>
      </c>
      <c r="B106" s="3" t="s">
        <v>7</v>
      </c>
      <c r="C106" s="3" t="s">
        <v>8</v>
      </c>
      <c r="D106" s="3">
        <v>348</v>
      </c>
      <c r="E106" s="3">
        <v>56</v>
      </c>
    </row>
    <row r="107" spans="1:5" ht="15.6" x14ac:dyDescent="0.3">
      <c r="A107" s="2">
        <v>45311.052627314813</v>
      </c>
      <c r="B107" s="3" t="s">
        <v>7</v>
      </c>
      <c r="C107" s="7" t="s">
        <v>6</v>
      </c>
      <c r="D107" s="3">
        <v>247</v>
      </c>
      <c r="E107" s="3">
        <v>76</v>
      </c>
    </row>
    <row r="108" spans="1:5" ht="15.6" hidden="1" x14ac:dyDescent="0.3">
      <c r="A108" s="2">
        <v>45320.578946759262</v>
      </c>
      <c r="B108" s="3" t="s">
        <v>5</v>
      </c>
      <c r="C108" s="3" t="s">
        <v>9</v>
      </c>
      <c r="D108" s="3">
        <v>230</v>
      </c>
      <c r="E108" s="3">
        <v>37</v>
      </c>
    </row>
    <row r="109" spans="1:5" ht="15.6" x14ac:dyDescent="0.3">
      <c r="A109" s="2">
        <v>45330.105266203704</v>
      </c>
      <c r="B109" s="3" t="s">
        <v>5</v>
      </c>
      <c r="C109" s="7" t="s">
        <v>6</v>
      </c>
      <c r="D109" s="3">
        <v>281</v>
      </c>
      <c r="E109" s="3">
        <v>50</v>
      </c>
    </row>
    <row r="110" spans="1:5" ht="15.6" hidden="1" x14ac:dyDescent="0.3">
      <c r="A110" s="2">
        <v>45339.631574074076</v>
      </c>
      <c r="B110" s="3" t="s">
        <v>5</v>
      </c>
      <c r="C110" s="3" t="s">
        <v>8</v>
      </c>
      <c r="D110" s="3">
        <v>334</v>
      </c>
      <c r="E110" s="3">
        <v>52</v>
      </c>
    </row>
    <row r="111" spans="1:5" ht="15.6" hidden="1" x14ac:dyDescent="0.3">
      <c r="A111" s="2">
        <v>45349.157893518517</v>
      </c>
      <c r="B111" s="3" t="s">
        <v>7</v>
      </c>
      <c r="C111" s="3" t="s">
        <v>9</v>
      </c>
      <c r="D111" s="3">
        <v>417</v>
      </c>
      <c r="E111" s="3">
        <v>29</v>
      </c>
    </row>
    <row r="112" spans="1:5" ht="15.6" hidden="1" x14ac:dyDescent="0.3">
      <c r="A112" s="2">
        <v>45358.684212962966</v>
      </c>
      <c r="B112" s="3" t="s">
        <v>5</v>
      </c>
      <c r="C112" s="3" t="s">
        <v>9</v>
      </c>
      <c r="D112" s="3">
        <v>441</v>
      </c>
      <c r="E112" s="3">
        <v>44</v>
      </c>
    </row>
    <row r="113" spans="1:5" ht="15.6" x14ac:dyDescent="0.3">
      <c r="A113" s="2">
        <v>45368.210520833331</v>
      </c>
      <c r="B113" s="3" t="s">
        <v>7</v>
      </c>
      <c r="C113" s="7" t="s">
        <v>6</v>
      </c>
      <c r="D113" s="3">
        <v>76</v>
      </c>
      <c r="E113" s="3">
        <v>63</v>
      </c>
    </row>
    <row r="114" spans="1:5" ht="15.6" hidden="1" x14ac:dyDescent="0.3">
      <c r="A114" s="2">
        <v>45377.736840277779</v>
      </c>
      <c r="B114" s="3" t="s">
        <v>5</v>
      </c>
      <c r="C114" s="3" t="s">
        <v>8</v>
      </c>
      <c r="D114" s="3">
        <v>441</v>
      </c>
      <c r="E114" s="3">
        <v>79</v>
      </c>
    </row>
    <row r="115" spans="1:5" ht="15.6" x14ac:dyDescent="0.3">
      <c r="A115" s="2">
        <v>45387.263159722221</v>
      </c>
      <c r="B115" s="3" t="s">
        <v>7</v>
      </c>
      <c r="C115" s="7" t="s">
        <v>6</v>
      </c>
      <c r="D115" s="3">
        <v>205</v>
      </c>
      <c r="E115" s="3">
        <v>23</v>
      </c>
    </row>
    <row r="116" spans="1:5" ht="15.6" hidden="1" x14ac:dyDescent="0.3">
      <c r="A116" s="2">
        <v>45396.789479166669</v>
      </c>
      <c r="B116" s="3" t="s">
        <v>5</v>
      </c>
      <c r="C116" s="3" t="s">
        <v>8</v>
      </c>
      <c r="D116" s="3">
        <v>483</v>
      </c>
      <c r="E116" s="3">
        <v>97</v>
      </c>
    </row>
    <row r="117" spans="1:5" ht="15.6" x14ac:dyDescent="0.3">
      <c r="A117" s="2">
        <v>45406.315787037034</v>
      </c>
      <c r="B117" s="3" t="s">
        <v>10</v>
      </c>
      <c r="C117" s="7" t="s">
        <v>6</v>
      </c>
      <c r="D117" s="3">
        <v>467</v>
      </c>
      <c r="E117" s="3">
        <v>97</v>
      </c>
    </row>
    <row r="118" spans="1:5" ht="15.6" x14ac:dyDescent="0.3">
      <c r="A118" s="2">
        <v>45415.842106481483</v>
      </c>
      <c r="B118" s="3" t="s">
        <v>5</v>
      </c>
      <c r="C118" s="7" t="s">
        <v>6</v>
      </c>
      <c r="D118" s="3">
        <v>380</v>
      </c>
      <c r="E118" s="3">
        <v>92</v>
      </c>
    </row>
    <row r="119" spans="1:5" ht="15.6" hidden="1" x14ac:dyDescent="0.3">
      <c r="A119" s="2">
        <v>45425.368425925924</v>
      </c>
      <c r="B119" s="3" t="s">
        <v>7</v>
      </c>
      <c r="C119" s="3" t="s">
        <v>8</v>
      </c>
      <c r="D119" s="3">
        <v>497</v>
      </c>
      <c r="E119" s="3">
        <v>71</v>
      </c>
    </row>
    <row r="120" spans="1:5" ht="15.6" x14ac:dyDescent="0.3">
      <c r="A120" s="2">
        <v>45434.894733796296</v>
      </c>
      <c r="B120" s="3" t="s">
        <v>7</v>
      </c>
      <c r="C120" s="7" t="s">
        <v>6</v>
      </c>
      <c r="D120" s="3">
        <v>409</v>
      </c>
      <c r="E120" s="3">
        <v>81</v>
      </c>
    </row>
    <row r="121" spans="1:5" ht="15.6" hidden="1" x14ac:dyDescent="0.3">
      <c r="A121" s="2">
        <v>45444.421053240738</v>
      </c>
      <c r="B121" s="3" t="s">
        <v>5</v>
      </c>
      <c r="C121" s="3" t="s">
        <v>8</v>
      </c>
      <c r="D121" s="3">
        <v>53</v>
      </c>
      <c r="E121" s="3">
        <v>45</v>
      </c>
    </row>
    <row r="122" spans="1:5" ht="15.6" hidden="1" x14ac:dyDescent="0.3">
      <c r="A122" s="2">
        <v>45453.947372685187</v>
      </c>
      <c r="B122" s="3" t="s">
        <v>5</v>
      </c>
      <c r="C122" s="3" t="s">
        <v>9</v>
      </c>
      <c r="D122" s="3">
        <v>398</v>
      </c>
      <c r="E122" s="3">
        <v>33</v>
      </c>
    </row>
    <row r="123" spans="1:5" ht="15.6" hidden="1" x14ac:dyDescent="0.3">
      <c r="A123" s="2">
        <v>45463.473680555559</v>
      </c>
      <c r="B123" s="3" t="s">
        <v>11</v>
      </c>
      <c r="C123" s="3" t="s">
        <v>8</v>
      </c>
      <c r="D123" s="3">
        <v>347</v>
      </c>
      <c r="E123" s="3">
        <v>35</v>
      </c>
    </row>
    <row r="124" spans="1:5" ht="15.6" hidden="1" x14ac:dyDescent="0.3">
      <c r="A124" s="2">
        <v>45473</v>
      </c>
      <c r="B124" s="3" t="s">
        <v>7</v>
      </c>
      <c r="C124" s="3" t="s">
        <v>9</v>
      </c>
      <c r="D124" s="3">
        <v>319</v>
      </c>
      <c r="E124" s="3">
        <v>45</v>
      </c>
    </row>
    <row r="127" spans="1:5" ht="15.6" x14ac:dyDescent="0.3">
      <c r="A127" s="18" t="s">
        <v>53</v>
      </c>
      <c r="B127" s="18"/>
      <c r="C127" s="18"/>
    </row>
    <row r="129" spans="1:8" x14ac:dyDescent="0.3">
      <c r="A129" s="23" t="s">
        <v>54</v>
      </c>
      <c r="B129" s="23"/>
      <c r="C129" s="23"/>
      <c r="D129" s="23"/>
      <c r="E129" s="23"/>
      <c r="F129" s="23"/>
      <c r="G129" s="23"/>
      <c r="H129" s="23"/>
    </row>
    <row r="131" spans="1:8" x14ac:dyDescent="0.3">
      <c r="A131" s="19" t="s">
        <v>55</v>
      </c>
      <c r="B131" s="19"/>
      <c r="C131" s="19"/>
      <c r="D131" s="19"/>
      <c r="E131" s="19"/>
      <c r="F131" s="19"/>
      <c r="G131" s="19"/>
      <c r="H131" s="19"/>
    </row>
    <row r="133" spans="1:8" x14ac:dyDescent="0.3">
      <c r="A133" s="19" t="s">
        <v>56</v>
      </c>
      <c r="B133" s="19"/>
      <c r="C133" s="19"/>
      <c r="D133" s="19"/>
      <c r="E133" s="19"/>
      <c r="F133" s="19"/>
      <c r="G133" s="19"/>
      <c r="H133" s="19"/>
    </row>
    <row r="135" spans="1:8" x14ac:dyDescent="0.3">
      <c r="A135" s="19" t="s">
        <v>57</v>
      </c>
      <c r="B135" s="19"/>
      <c r="C135" s="19"/>
      <c r="D135" s="19"/>
      <c r="E135" s="19"/>
      <c r="F135" s="19"/>
      <c r="G135" s="19"/>
      <c r="H135" s="19"/>
    </row>
    <row r="137" spans="1:8" x14ac:dyDescent="0.3">
      <c r="A137" s="19" t="s">
        <v>58</v>
      </c>
      <c r="B137" s="19"/>
      <c r="C137" s="19"/>
      <c r="D137" s="19"/>
      <c r="E137" s="19"/>
      <c r="F137" s="19"/>
      <c r="G137" s="19"/>
      <c r="H137" s="19"/>
    </row>
    <row r="139" spans="1:8" x14ac:dyDescent="0.3">
      <c r="A139" s="19" t="s">
        <v>59</v>
      </c>
      <c r="B139" s="19"/>
      <c r="C139" s="19"/>
      <c r="D139" s="19"/>
      <c r="E139" s="19"/>
      <c r="F139" s="19"/>
      <c r="G139" s="19"/>
      <c r="H139" s="19"/>
    </row>
    <row r="141" spans="1:8" x14ac:dyDescent="0.3">
      <c r="A141" s="23" t="s">
        <v>60</v>
      </c>
      <c r="B141" s="23"/>
      <c r="C141" s="23"/>
      <c r="D141" s="23"/>
      <c r="E141" s="23"/>
      <c r="F141" s="23"/>
      <c r="G141" s="23"/>
      <c r="H141" s="23"/>
    </row>
    <row r="144" spans="1:8" x14ac:dyDescent="0.3">
      <c r="A144" s="11" t="s">
        <v>61</v>
      </c>
      <c r="B144" s="11"/>
      <c r="C144" s="11"/>
      <c r="D144" s="11"/>
      <c r="E144" s="11"/>
      <c r="F144" s="11"/>
      <c r="G144" s="11"/>
      <c r="H144" s="11"/>
    </row>
    <row r="145" spans="1:8" x14ac:dyDescent="0.3">
      <c r="A145" s="11"/>
      <c r="B145" s="11"/>
      <c r="C145" s="11"/>
      <c r="D145" s="11"/>
      <c r="E145" s="11"/>
      <c r="F145" s="11"/>
      <c r="G145" s="11"/>
      <c r="H145" s="11"/>
    </row>
    <row r="146" spans="1:8" x14ac:dyDescent="0.3">
      <c r="A146" s="11"/>
      <c r="B146" s="11"/>
      <c r="C146" s="11"/>
      <c r="D146" s="11"/>
      <c r="E146" s="11"/>
      <c r="F146" s="11"/>
      <c r="G146" s="11"/>
      <c r="H146" s="11"/>
    </row>
    <row r="147" spans="1:8" x14ac:dyDescent="0.3">
      <c r="A147" s="11"/>
      <c r="B147" s="11"/>
      <c r="C147" s="11"/>
      <c r="D147" s="11"/>
      <c r="E147" s="11"/>
      <c r="F147" s="11"/>
      <c r="G147" s="11"/>
      <c r="H147" s="11"/>
    </row>
    <row r="148" spans="1:8" x14ac:dyDescent="0.3">
      <c r="A148" s="11"/>
      <c r="B148" s="11"/>
      <c r="C148" s="11"/>
      <c r="D148" s="11"/>
      <c r="E148" s="11"/>
      <c r="F148" s="11"/>
      <c r="G148" s="11"/>
      <c r="H148" s="11"/>
    </row>
    <row r="150" spans="1:8" x14ac:dyDescent="0.3">
      <c r="A150" s="15" t="s">
        <v>83</v>
      </c>
      <c r="B150" s="15"/>
      <c r="C150" s="15"/>
      <c r="D150" s="15"/>
      <c r="E150" s="15"/>
      <c r="F150" s="15"/>
      <c r="G150" s="15"/>
      <c r="H150" s="15"/>
    </row>
    <row r="151" spans="1:8" x14ac:dyDescent="0.3">
      <c r="A151" s="15"/>
      <c r="B151" s="15"/>
      <c r="C151" s="15"/>
      <c r="D151" s="15"/>
      <c r="E151" s="15"/>
      <c r="F151" s="15"/>
      <c r="G151" s="15"/>
      <c r="H151" s="15"/>
    </row>
    <row r="152" spans="1:8" x14ac:dyDescent="0.3">
      <c r="A152" s="15"/>
      <c r="B152" s="15"/>
      <c r="C152" s="15"/>
      <c r="D152" s="15"/>
      <c r="E152" s="15"/>
      <c r="F152" s="15"/>
      <c r="G152" s="15"/>
      <c r="H152" s="15"/>
    </row>
    <row r="154" spans="1:8" ht="31.2" x14ac:dyDescent="0.3">
      <c r="A154" s="1" t="s">
        <v>0</v>
      </c>
      <c r="B154" s="1" t="s">
        <v>1</v>
      </c>
      <c r="C154" s="1" t="s">
        <v>2</v>
      </c>
      <c r="D154" s="1" t="s">
        <v>3</v>
      </c>
      <c r="E154" s="1" t="s">
        <v>4</v>
      </c>
      <c r="F154" s="6" t="s">
        <v>82</v>
      </c>
    </row>
    <row r="155" spans="1:8" ht="15.6" x14ac:dyDescent="0.3">
      <c r="A155" s="2">
        <v>45292</v>
      </c>
      <c r="B155" s="3" t="s">
        <v>5</v>
      </c>
      <c r="C155" s="3" t="s">
        <v>6</v>
      </c>
      <c r="D155" s="3">
        <v>456</v>
      </c>
      <c r="E155" s="3">
        <v>93</v>
      </c>
      <c r="F155" s="24" t="str">
        <f t="shared" ref="F155:F174" si="0">IF(OR(C155="Apples", C155="Oranges"), "Fruits", C155)</f>
        <v>Mangoes</v>
      </c>
    </row>
    <row r="156" spans="1:8" ht="15.6" x14ac:dyDescent="0.3">
      <c r="A156" s="2">
        <v>45301.526319444441</v>
      </c>
      <c r="B156" s="3" t="s">
        <v>7</v>
      </c>
      <c r="C156" s="3" t="s">
        <v>8</v>
      </c>
      <c r="D156" s="3">
        <v>348</v>
      </c>
      <c r="E156" s="3">
        <v>56</v>
      </c>
      <c r="F156" s="24" t="str">
        <f>IF(OR(C156="Apples", C156="Oranges"), "Fruits", C156)</f>
        <v>Fruits</v>
      </c>
    </row>
    <row r="157" spans="1:8" ht="15.6" x14ac:dyDescent="0.3">
      <c r="A157" s="2">
        <v>45311.052627314813</v>
      </c>
      <c r="B157" s="3" t="s">
        <v>7</v>
      </c>
      <c r="C157" s="3" t="s">
        <v>6</v>
      </c>
      <c r="D157" s="3">
        <v>247</v>
      </c>
      <c r="E157" s="3">
        <v>76</v>
      </c>
      <c r="F157" s="24" t="str">
        <f t="shared" si="0"/>
        <v>Mangoes</v>
      </c>
    </row>
    <row r="158" spans="1:8" ht="15.6" x14ac:dyDescent="0.3">
      <c r="A158" s="2">
        <v>45320.578946759262</v>
      </c>
      <c r="B158" s="3" t="s">
        <v>5</v>
      </c>
      <c r="C158" s="3" t="s">
        <v>9</v>
      </c>
      <c r="D158" s="3">
        <v>230</v>
      </c>
      <c r="E158" s="3">
        <v>37</v>
      </c>
      <c r="F158" s="24" t="str">
        <f t="shared" si="0"/>
        <v>Fruits</v>
      </c>
    </row>
    <row r="159" spans="1:8" ht="15.6" x14ac:dyDescent="0.3">
      <c r="A159" s="2">
        <v>45330.105266203704</v>
      </c>
      <c r="B159" s="3" t="s">
        <v>5</v>
      </c>
      <c r="C159" s="3" t="s">
        <v>6</v>
      </c>
      <c r="D159" s="3">
        <v>281</v>
      </c>
      <c r="E159" s="3">
        <v>50</v>
      </c>
      <c r="F159" s="24" t="str">
        <f t="shared" si="0"/>
        <v>Mangoes</v>
      </c>
    </row>
    <row r="160" spans="1:8" ht="15.6" x14ac:dyDescent="0.3">
      <c r="A160" s="2">
        <v>45339.631574074076</v>
      </c>
      <c r="B160" s="3" t="s">
        <v>5</v>
      </c>
      <c r="C160" s="3" t="s">
        <v>8</v>
      </c>
      <c r="D160" s="3">
        <v>334</v>
      </c>
      <c r="E160" s="3">
        <v>52</v>
      </c>
      <c r="F160" s="24" t="str">
        <f t="shared" si="0"/>
        <v>Fruits</v>
      </c>
    </row>
    <row r="161" spans="1:6" ht="15.6" x14ac:dyDescent="0.3">
      <c r="A161" s="2">
        <v>45349.157893518517</v>
      </c>
      <c r="B161" s="3" t="s">
        <v>7</v>
      </c>
      <c r="C161" s="3" t="s">
        <v>9</v>
      </c>
      <c r="D161" s="3">
        <v>417</v>
      </c>
      <c r="E161" s="3">
        <v>29</v>
      </c>
      <c r="F161" s="24" t="str">
        <f t="shared" si="0"/>
        <v>Fruits</v>
      </c>
    </row>
    <row r="162" spans="1:6" ht="15.6" x14ac:dyDescent="0.3">
      <c r="A162" s="2">
        <v>45358.684212962966</v>
      </c>
      <c r="B162" s="3" t="s">
        <v>5</v>
      </c>
      <c r="C162" s="3" t="s">
        <v>9</v>
      </c>
      <c r="D162" s="3">
        <v>441</v>
      </c>
      <c r="E162" s="3">
        <v>44</v>
      </c>
      <c r="F162" s="24" t="str">
        <f t="shared" si="0"/>
        <v>Fruits</v>
      </c>
    </row>
    <row r="163" spans="1:6" ht="15.6" x14ac:dyDescent="0.3">
      <c r="A163" s="2">
        <v>45368.210520833331</v>
      </c>
      <c r="B163" s="3" t="s">
        <v>7</v>
      </c>
      <c r="C163" s="3" t="s">
        <v>6</v>
      </c>
      <c r="D163" s="3">
        <v>76</v>
      </c>
      <c r="E163" s="3">
        <v>63</v>
      </c>
      <c r="F163" s="24" t="str">
        <f t="shared" si="0"/>
        <v>Mangoes</v>
      </c>
    </row>
    <row r="164" spans="1:6" ht="15.6" x14ac:dyDescent="0.3">
      <c r="A164" s="2">
        <v>45377.736840277779</v>
      </c>
      <c r="B164" s="3" t="s">
        <v>5</v>
      </c>
      <c r="C164" s="3" t="s">
        <v>8</v>
      </c>
      <c r="D164" s="3">
        <v>441</v>
      </c>
      <c r="E164" s="3">
        <v>79</v>
      </c>
      <c r="F164" s="24" t="str">
        <f t="shared" si="0"/>
        <v>Fruits</v>
      </c>
    </row>
    <row r="165" spans="1:6" ht="15.6" x14ac:dyDescent="0.3">
      <c r="A165" s="2">
        <v>45387.263159722221</v>
      </c>
      <c r="B165" s="3" t="s">
        <v>7</v>
      </c>
      <c r="C165" s="3" t="s">
        <v>6</v>
      </c>
      <c r="D165" s="3">
        <v>205</v>
      </c>
      <c r="E165" s="3">
        <v>23</v>
      </c>
      <c r="F165" s="24" t="str">
        <f t="shared" si="0"/>
        <v>Mangoes</v>
      </c>
    </row>
    <row r="166" spans="1:6" ht="15.6" x14ac:dyDescent="0.3">
      <c r="A166" s="2">
        <v>45396.789479166669</v>
      </c>
      <c r="B166" s="3" t="s">
        <v>5</v>
      </c>
      <c r="C166" s="3" t="s">
        <v>8</v>
      </c>
      <c r="D166" s="3">
        <v>483</v>
      </c>
      <c r="E166" s="3">
        <v>97</v>
      </c>
      <c r="F166" s="24" t="str">
        <f t="shared" si="0"/>
        <v>Fruits</v>
      </c>
    </row>
    <row r="167" spans="1:6" ht="15.6" x14ac:dyDescent="0.3">
      <c r="A167" s="2">
        <v>45406.315787037034</v>
      </c>
      <c r="B167" s="3" t="s">
        <v>10</v>
      </c>
      <c r="C167" s="3" t="s">
        <v>6</v>
      </c>
      <c r="D167" s="3">
        <v>467</v>
      </c>
      <c r="E167" s="3">
        <v>97</v>
      </c>
      <c r="F167" s="24" t="str">
        <f t="shared" si="0"/>
        <v>Mangoes</v>
      </c>
    </row>
    <row r="168" spans="1:6" ht="15.6" x14ac:dyDescent="0.3">
      <c r="A168" s="2">
        <v>45415.842106481483</v>
      </c>
      <c r="B168" s="3" t="s">
        <v>5</v>
      </c>
      <c r="C168" s="3" t="s">
        <v>6</v>
      </c>
      <c r="D168" s="3">
        <v>380</v>
      </c>
      <c r="E168" s="3">
        <v>92</v>
      </c>
      <c r="F168" s="24" t="str">
        <f t="shared" si="0"/>
        <v>Mangoes</v>
      </c>
    </row>
    <row r="169" spans="1:6" ht="15.6" x14ac:dyDescent="0.3">
      <c r="A169" s="2">
        <v>45425.368425925924</v>
      </c>
      <c r="B169" s="3" t="s">
        <v>7</v>
      </c>
      <c r="C169" s="3" t="s">
        <v>8</v>
      </c>
      <c r="D169" s="3">
        <v>497</v>
      </c>
      <c r="E169" s="3">
        <v>71</v>
      </c>
      <c r="F169" s="24" t="str">
        <f t="shared" si="0"/>
        <v>Fruits</v>
      </c>
    </row>
    <row r="170" spans="1:6" ht="15.6" x14ac:dyDescent="0.3">
      <c r="A170" s="2">
        <v>45434.894733796296</v>
      </c>
      <c r="B170" s="3" t="s">
        <v>7</v>
      </c>
      <c r="C170" s="3" t="s">
        <v>6</v>
      </c>
      <c r="D170" s="3">
        <v>409</v>
      </c>
      <c r="E170" s="3">
        <v>81</v>
      </c>
      <c r="F170" s="24" t="str">
        <f t="shared" si="0"/>
        <v>Mangoes</v>
      </c>
    </row>
    <row r="171" spans="1:6" ht="15.6" x14ac:dyDescent="0.3">
      <c r="A171" s="2">
        <v>45444.421053240738</v>
      </c>
      <c r="B171" s="3" t="s">
        <v>5</v>
      </c>
      <c r="C171" s="3" t="s">
        <v>8</v>
      </c>
      <c r="D171" s="3">
        <v>53</v>
      </c>
      <c r="E171" s="3">
        <v>45</v>
      </c>
      <c r="F171" s="24" t="str">
        <f t="shared" si="0"/>
        <v>Fruits</v>
      </c>
    </row>
    <row r="172" spans="1:6" ht="15.6" x14ac:dyDescent="0.3">
      <c r="A172" s="2">
        <v>45453.947372685187</v>
      </c>
      <c r="B172" s="3" t="s">
        <v>5</v>
      </c>
      <c r="C172" s="3" t="s">
        <v>9</v>
      </c>
      <c r="D172" s="3">
        <v>398</v>
      </c>
      <c r="E172" s="3">
        <v>33</v>
      </c>
      <c r="F172" s="24" t="str">
        <f t="shared" si="0"/>
        <v>Fruits</v>
      </c>
    </row>
    <row r="173" spans="1:6" ht="15.6" x14ac:dyDescent="0.3">
      <c r="A173" s="2">
        <v>45463.473680555559</v>
      </c>
      <c r="B173" s="3" t="s">
        <v>11</v>
      </c>
      <c r="C173" s="3" t="s">
        <v>8</v>
      </c>
      <c r="D173" s="3">
        <v>347</v>
      </c>
      <c r="E173" s="3">
        <v>35</v>
      </c>
      <c r="F173" s="24" t="str">
        <f t="shared" si="0"/>
        <v>Fruits</v>
      </c>
    </row>
    <row r="174" spans="1:6" ht="15.6" x14ac:dyDescent="0.3">
      <c r="A174" s="2">
        <v>45473</v>
      </c>
      <c r="B174" s="3" t="s">
        <v>7</v>
      </c>
      <c r="C174" s="3" t="s">
        <v>9</v>
      </c>
      <c r="D174" s="3">
        <v>319</v>
      </c>
      <c r="E174" s="3">
        <v>45</v>
      </c>
      <c r="F174" s="24" t="str">
        <f t="shared" si="0"/>
        <v>Fruits</v>
      </c>
    </row>
  </sheetData>
  <autoFilter ref="A104:E124" xr:uid="{52E65E08-DC07-4D1E-B491-4CBB8852AA58}">
    <filterColumn colId="2">
      <filters>
        <filter val="Mangoes"/>
      </filters>
    </filterColumn>
  </autoFilter>
  <sortState xmlns:xlrd2="http://schemas.microsoft.com/office/spreadsheetml/2017/richdata2" ref="A82:E101">
    <sortCondition descending="1" ref="D82:D101"/>
  </sortState>
  <mergeCells count="32">
    <mergeCell ref="A150:H152"/>
    <mergeCell ref="A141:H141"/>
    <mergeCell ref="A144:H148"/>
    <mergeCell ref="A129:H129"/>
    <mergeCell ref="A131:H131"/>
    <mergeCell ref="A133:H133"/>
    <mergeCell ref="A135:H135"/>
    <mergeCell ref="A137:H137"/>
    <mergeCell ref="A139:H139"/>
    <mergeCell ref="A68:G68"/>
    <mergeCell ref="A70:G70"/>
    <mergeCell ref="A73:M73"/>
    <mergeCell ref="A74:M78"/>
    <mergeCell ref="A127:C127"/>
    <mergeCell ref="A66:G66"/>
    <mergeCell ref="A38:G38"/>
    <mergeCell ref="A40:G40"/>
    <mergeCell ref="A42:B42"/>
    <mergeCell ref="A44:G44"/>
    <mergeCell ref="A47:F47"/>
    <mergeCell ref="A49:C49"/>
    <mergeCell ref="A51:E51"/>
    <mergeCell ref="A53:E53"/>
    <mergeCell ref="A55:E55"/>
    <mergeCell ref="A58:I61"/>
    <mergeCell ref="A64:C64"/>
    <mergeCell ref="A36:G36"/>
    <mergeCell ref="A28:G28"/>
    <mergeCell ref="A26:B26"/>
    <mergeCell ref="A30:B30"/>
    <mergeCell ref="A32:G32"/>
    <mergeCell ref="A34:G3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vt:lpstr>
      <vt:lpstr>Pivot Chart</vt:lpstr>
      <vt:lpstr>Dashboard</vt:lpstr>
      <vt:lpstr>Pivot Table_2</vt:lpstr>
      <vt:lpstr>Question 9</vt:lpstr>
      <vt:lpstr>Ques 10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DURGATINASHINEE</dc:creator>
  <cp:lastModifiedBy>D DURGATINASHINEE</cp:lastModifiedBy>
  <dcterms:created xsi:type="dcterms:W3CDTF">2025-12-17T06:13:18Z</dcterms:created>
  <dcterms:modified xsi:type="dcterms:W3CDTF">2025-12-18T07:07:06Z</dcterms:modified>
</cp:coreProperties>
</file>