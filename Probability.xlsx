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ED9D0540-F1DE-42F3-BE50-6BB0AA69837D}" xr6:coauthVersionLast="47" xr6:coauthVersionMax="47" xr10:uidLastSave="{00000000-0000-0000-0000-000000000000}"/>
  <bookViews>
    <workbookView xWindow="-108" yWindow="-108" windowWidth="23256" windowHeight="12456" xr2:uid="{A2D19BBA-24D4-4F2C-9097-9A38BF2F310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4" i="1" l="1"/>
  <c r="D96" i="1"/>
  <c r="F83" i="1"/>
  <c r="F82" i="1"/>
  <c r="F81" i="1"/>
  <c r="F80" i="1"/>
  <c r="B69" i="1"/>
  <c r="G42" i="1"/>
  <c r="G26" i="1"/>
  <c r="F26" i="1"/>
  <c r="G28" i="1" s="1"/>
  <c r="E26" i="1"/>
  <c r="F15" i="1"/>
  <c r="F14" i="1"/>
</calcChain>
</file>

<file path=xl/sharedStrings.xml><?xml version="1.0" encoding="utf-8"?>
<sst xmlns="http://schemas.openxmlformats.org/spreadsheetml/2006/main" count="79" uniqueCount="76">
  <si>
    <t>Question 1: A die is rolled. What is the probability of getting:</t>
  </si>
  <si>
    <t>(a) An even number</t>
  </si>
  <si>
    <r>
      <t>(b) A number greater than 4</t>
    </r>
    <r>
      <rPr>
        <sz val="11"/>
        <color theme="1"/>
        <rFont val="MS Gothic"/>
        <family val="3"/>
      </rPr>
      <t> </t>
    </r>
    <r>
      <rPr>
        <sz val="11"/>
        <color theme="1"/>
        <rFont val="Calibri"/>
        <family val="2"/>
        <scheme val="minor"/>
      </rPr>
      <t xml:space="preserve"> </t>
    </r>
  </si>
  <si>
    <t>Even Numbers</t>
  </si>
  <si>
    <t>Number greater than 4</t>
  </si>
  <si>
    <t xml:space="preserve">Total Outcomes </t>
  </si>
  <si>
    <t>P(a)</t>
  </si>
  <si>
    <t>Total</t>
  </si>
  <si>
    <t>P(b)</t>
  </si>
  <si>
    <t>Question 2: In a class of 50 students:</t>
  </si>
  <si>
    <t>20 like Mathematics (M)</t>
  </si>
  <si>
    <t>15 like Science (S)</t>
  </si>
  <si>
    <t>5 like both subjects (B)</t>
  </si>
  <si>
    <r>
      <t xml:space="preserve">What is the probability that a student chosen at random likes Mathematics or Science? </t>
    </r>
    <r>
      <rPr>
        <b/>
        <sz val="11"/>
        <color theme="1"/>
        <rFont val="MS Gothic"/>
        <family val="3"/>
      </rPr>
      <t> </t>
    </r>
    <r>
      <rPr>
        <b/>
        <sz val="11"/>
        <color theme="1"/>
        <rFont val="Calibri"/>
        <family val="2"/>
        <scheme val="minor"/>
      </rPr>
      <t xml:space="preserve"> </t>
    </r>
  </si>
  <si>
    <t>Maths</t>
  </si>
  <si>
    <t xml:space="preserve">Science </t>
  </si>
  <si>
    <t xml:space="preserve">Both </t>
  </si>
  <si>
    <t xml:space="preserve">Total </t>
  </si>
  <si>
    <t>Question 3: A bag has 3 red and 2 blue balls. If one ball is drawn randomly and is red, what is the probability that the next ball is also red (without replacement)?</t>
  </si>
  <si>
    <t>Red Balls</t>
  </si>
  <si>
    <t>Blue Balls</t>
  </si>
  <si>
    <t>p(m)</t>
  </si>
  <si>
    <t>p(s)</t>
  </si>
  <si>
    <t>p(b)</t>
  </si>
  <si>
    <t>p(m or s)</t>
  </si>
  <si>
    <t>p(m) + p(s) - p(b) =</t>
  </si>
  <si>
    <t xml:space="preserve">The bag initially had 3 red &amp; 2 blue balls, so 5 in total. If the first ball drawn is red then 2 red &amp; 2 blue balls remain, making 4 in total. So the probability that next ball is also red is </t>
  </si>
  <si>
    <t xml:space="preserve">Red Balls now </t>
  </si>
  <si>
    <t xml:space="preserve">Blue Balls </t>
  </si>
  <si>
    <t xml:space="preserve">Probability = </t>
  </si>
  <si>
    <t xml:space="preserve">red ball/total = </t>
  </si>
  <si>
    <t>Question 4: The population of a school is divided into 60% boys and 40% girls.</t>
  </si>
  <si>
    <t>If you want equal representation of both genders in the sample, which method should you use:</t>
  </si>
  <si>
    <t xml:space="preserve">Simple Random Sampling or Stratified Sampling? Why? </t>
  </si>
  <si>
    <t>Question 5: The average height of 1000 students = 160 cm.</t>
  </si>
  <si>
    <t xml:space="preserve">A sample of 100 students shows an average height = 158 cm. Find the sampling error. </t>
  </si>
  <si>
    <t xml:space="preserve">Stratified sampling should be used because that ensures that both boys and girls are proportionally represented in the sample, avoiding bias that might occur with simple random sampling where one group  could be underrepresented by chance. </t>
  </si>
  <si>
    <t>The Sampling error is the difference between the sample mean and the population mean. Here, the population mean height is 160 cm and the sample mean height is 158 cm.</t>
  </si>
  <si>
    <t>Sampling Error = 158-160 = -2 cm or 2 cm in absolute terms.</t>
  </si>
  <si>
    <t>Question 6: The population mean salary is ₹50,000 with σ = ₹5,000.</t>
  </si>
  <si>
    <t>If we take a sample of 100 employees, what is the standard error of the mean (SEM)?</t>
  </si>
  <si>
    <t xml:space="preserve">Mean Salary </t>
  </si>
  <si>
    <t>No. of Employees</t>
  </si>
  <si>
    <t>Formula is = 50000/SQRT (100)</t>
  </si>
  <si>
    <t xml:space="preserve">Standard Error of Mean (SEM) is </t>
  </si>
  <si>
    <t>Question 7: In a group of 100 students:</t>
  </si>
  <si>
    <t>40 like Cricket (C)</t>
  </si>
  <si>
    <t>30 like Football (F)</t>
  </si>
  <si>
    <t>10 like both Cricket and Football.</t>
  </si>
  <si>
    <t>Find the probability that a student likes at least one sport.</t>
  </si>
  <si>
    <t>Cricket</t>
  </si>
  <si>
    <t>Both</t>
  </si>
  <si>
    <t>Football</t>
  </si>
  <si>
    <t>p ( c)</t>
  </si>
  <si>
    <t>p ( F )</t>
  </si>
  <si>
    <t>p (b)</t>
  </si>
  <si>
    <t>p (c or f)</t>
  </si>
  <si>
    <t>Probability of atleast one sport = p ( c) + p (f) - p(b)</t>
  </si>
  <si>
    <t>Question 8: From a deck of 52 cards, two cards are drawn without replacement.</t>
  </si>
  <si>
    <t>Total Cards</t>
  </si>
  <si>
    <t xml:space="preserve">Total Aces </t>
  </si>
  <si>
    <t>After drawing 1 card</t>
  </si>
  <si>
    <t>Total cards</t>
  </si>
  <si>
    <t>Aces left</t>
  </si>
  <si>
    <t xml:space="preserve">Probabilty as favorable outcomes = </t>
  </si>
  <si>
    <t>Formula = 4/52 * 3/51</t>
  </si>
  <si>
    <r>
      <t xml:space="preserve"> What is the probability that both are Aces? </t>
    </r>
    <r>
      <rPr>
        <b/>
        <sz val="11"/>
        <color theme="1"/>
        <rFont val="MS Gothic"/>
        <family val="3"/>
      </rPr>
      <t> </t>
    </r>
  </si>
  <si>
    <t>Question 9: A factory produces bulbs with 2% defective rate.</t>
  </si>
  <si>
    <r>
      <t xml:space="preserve">If 5 bulbs are chosen at random, what is the probability that all are non-defective? </t>
    </r>
    <r>
      <rPr>
        <b/>
        <sz val="11"/>
        <color theme="1"/>
        <rFont val="MS Gothic"/>
        <family val="3"/>
      </rPr>
      <t> </t>
    </r>
  </si>
  <si>
    <t xml:space="preserve">Defective rate </t>
  </si>
  <si>
    <t xml:space="preserve">Working rate </t>
  </si>
  <si>
    <t>Bulbs Chosen</t>
  </si>
  <si>
    <t>Non-Defective probability = POWER (98%,5)</t>
  </si>
  <si>
    <t xml:space="preserve"> Question 10: Differentiate between discrete and continuous random variables with examples.</t>
  </si>
  <si>
    <t xml:space="preserve">Discrete random variables take distinct, countable values such as the number of heads in 10 coins </t>
  </si>
  <si>
    <t>Continous random variables can take any value within a range,                                                                       like the exact height of students in a 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</si>
</sst>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3" formatCode="0.000"/>
  </numFmts>
  <fonts count="6" x14ac:knownFonts="1">
    <font>
      <sz val="11"/>
      <color theme="1"/>
      <name val="Calibri"/>
      <family val="2"/>
      <scheme val="minor"/>
    </font>
    <font>
      <b/>
      <sz val="11"/>
      <color theme="1"/>
      <name val="Calibri"/>
      <family val="2"/>
      <scheme val="minor"/>
    </font>
    <font>
      <sz val="11"/>
      <color theme="1"/>
      <name val="MS Gothic"/>
      <family val="3"/>
    </font>
    <font>
      <sz val="8"/>
      <name val="Calibri"/>
      <family val="2"/>
      <scheme val="minor"/>
    </font>
    <font>
      <b/>
      <sz val="12"/>
      <color theme="1"/>
      <name val="Calibri"/>
      <family val="2"/>
      <scheme val="minor"/>
    </font>
    <font>
      <b/>
      <sz val="11"/>
      <color theme="1"/>
      <name val="MS Gothic"/>
      <family val="3"/>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0" xfId="0" applyFont="1" applyFill="1" applyAlignment="1">
      <alignment horizontal="center" vertical="center"/>
    </xf>
    <xf numFmtId="0" fontId="0" fillId="2" borderId="0" xfId="0" applyFill="1" applyAlignment="1">
      <alignment horizontal="center" vertical="center"/>
    </xf>
    <xf numFmtId="0" fontId="0" fillId="2" borderId="0" xfId="0" applyFill="1"/>
    <xf numFmtId="0" fontId="1" fillId="3" borderId="0" xfId="0" applyFont="1" applyFill="1" applyAlignment="1">
      <alignment horizontal="center"/>
    </xf>
    <xf numFmtId="0" fontId="1" fillId="3" borderId="0" xfId="0" applyFont="1" applyFill="1"/>
    <xf numFmtId="0" fontId="1" fillId="3" borderId="0" xfId="0" applyFont="1" applyFill="1" applyAlignment="1">
      <alignment horizontal="center"/>
    </xf>
    <xf numFmtId="2" fontId="1" fillId="3" borderId="0" xfId="0" applyNumberFormat="1" applyFont="1" applyFill="1"/>
    <xf numFmtId="0" fontId="1" fillId="3" borderId="1" xfId="0" applyFont="1" applyFill="1" applyBorder="1" applyAlignment="1">
      <alignment horizontal="center"/>
    </xf>
    <xf numFmtId="0" fontId="1" fillId="3" borderId="1" xfId="0" applyFont="1" applyFill="1" applyBorder="1"/>
    <xf numFmtId="0" fontId="1" fillId="3" borderId="1" xfId="0" applyFont="1"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4" fillId="2" borderId="0" xfId="0" applyFont="1" applyFill="1" applyAlignment="1">
      <alignment horizontal="center" vertical="center"/>
    </xf>
    <xf numFmtId="0" fontId="0" fillId="2" borderId="0" xfId="0" applyFill="1" applyAlignment="1">
      <alignment horizontal="center"/>
    </xf>
    <xf numFmtId="0" fontId="1" fillId="2" borderId="0" xfId="0" applyFont="1" applyFill="1" applyAlignment="1">
      <alignment horizontal="center" vertical="center" wrapText="1"/>
    </xf>
    <xf numFmtId="0" fontId="0" fillId="3" borderId="0" xfId="0" applyFill="1"/>
    <xf numFmtId="0" fontId="1" fillId="3" borderId="0" xfId="0" applyFont="1" applyFill="1" applyAlignment="1">
      <alignment horizontal="center" vertical="center" wrapText="1"/>
    </xf>
    <xf numFmtId="0" fontId="1" fillId="2" borderId="0" xfId="0" applyFont="1" applyFill="1" applyAlignment="1">
      <alignment horizontal="center"/>
    </xf>
    <xf numFmtId="0" fontId="1" fillId="3" borderId="0" xfId="0" applyFont="1" applyFill="1" applyBorder="1" applyAlignment="1">
      <alignment horizontal="center"/>
    </xf>
    <xf numFmtId="0" fontId="0" fillId="3" borderId="0" xfId="0" applyFill="1" applyAlignment="1">
      <alignment horizontal="center"/>
    </xf>
    <xf numFmtId="9" fontId="1" fillId="3" borderId="1" xfId="0" applyNumberFormat="1" applyFont="1" applyFill="1" applyBorder="1"/>
    <xf numFmtId="173" fontId="1" fillId="3" borderId="1" xfId="0" applyNumberFormat="1" applyFont="1" applyFill="1" applyBorder="1"/>
    <xf numFmtId="0" fontId="1" fillId="3"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FD918-A7F8-4E4C-8CA8-1DDA6E23FBB8}">
  <dimension ref="B3:G112"/>
  <sheetViews>
    <sheetView tabSelected="1" topLeftCell="A97" zoomScale="129" workbookViewId="0">
      <selection activeCell="J100" sqref="J100"/>
    </sheetView>
  </sheetViews>
  <sheetFormatPr defaultRowHeight="14.4" x14ac:dyDescent="0.3"/>
  <cols>
    <col min="2" max="2" width="13.44140625" customWidth="1"/>
    <col min="3" max="3" width="17" customWidth="1"/>
    <col min="5" max="5" width="15.5546875" bestFit="1" customWidth="1"/>
    <col min="6" max="6" width="16.88671875" customWidth="1"/>
    <col min="7" max="7" width="15.5546875" customWidth="1"/>
  </cols>
  <sheetData>
    <row r="3" spans="2:7" x14ac:dyDescent="0.3">
      <c r="B3" s="1" t="s">
        <v>0</v>
      </c>
      <c r="C3" s="1"/>
      <c r="D3" s="1"/>
      <c r="E3" s="1"/>
      <c r="F3" s="1"/>
      <c r="G3" s="1"/>
    </row>
    <row r="4" spans="2:7" x14ac:dyDescent="0.3">
      <c r="B4" s="2" t="s">
        <v>1</v>
      </c>
      <c r="C4" s="2"/>
      <c r="D4" s="2"/>
      <c r="E4" s="3"/>
      <c r="F4" s="3"/>
      <c r="G4" s="3"/>
    </row>
    <row r="5" spans="2:7" x14ac:dyDescent="0.3">
      <c r="B5" s="2" t="s">
        <v>2</v>
      </c>
      <c r="C5" s="2"/>
      <c r="D5" s="2"/>
      <c r="E5" s="3"/>
      <c r="F5" s="3"/>
      <c r="G5" s="3"/>
    </row>
    <row r="7" spans="2:7" x14ac:dyDescent="0.3">
      <c r="B7" s="8" t="s">
        <v>3</v>
      </c>
      <c r="C7" s="8"/>
      <c r="D7" s="8" t="s">
        <v>4</v>
      </c>
      <c r="E7" s="8"/>
      <c r="F7" s="8"/>
      <c r="G7" s="5"/>
    </row>
    <row r="8" spans="2:7" x14ac:dyDescent="0.3">
      <c r="B8" s="8">
        <v>2</v>
      </c>
      <c r="C8" s="8"/>
      <c r="D8" s="8">
        <v>5</v>
      </c>
      <c r="E8" s="8"/>
      <c r="F8" s="8"/>
      <c r="G8" s="5"/>
    </row>
    <row r="9" spans="2:7" x14ac:dyDescent="0.3">
      <c r="B9" s="8">
        <v>4</v>
      </c>
      <c r="C9" s="8"/>
      <c r="D9" s="8">
        <v>6</v>
      </c>
      <c r="E9" s="8"/>
      <c r="F9" s="8"/>
      <c r="G9" s="5"/>
    </row>
    <row r="10" spans="2:7" x14ac:dyDescent="0.3">
      <c r="B10" s="8">
        <v>6</v>
      </c>
      <c r="C10" s="8"/>
      <c r="D10" s="11"/>
      <c r="E10" s="12"/>
      <c r="F10" s="13"/>
      <c r="G10" s="5"/>
    </row>
    <row r="11" spans="2:7" x14ac:dyDescent="0.3">
      <c r="B11" s="10" t="s">
        <v>7</v>
      </c>
      <c r="C11" s="10">
        <v>3</v>
      </c>
      <c r="D11" s="11">
        <v>2</v>
      </c>
      <c r="E11" s="12"/>
      <c r="F11" s="13"/>
      <c r="G11" s="5"/>
    </row>
    <row r="12" spans="2:7" x14ac:dyDescent="0.3">
      <c r="B12" s="6"/>
      <c r="C12" s="6"/>
      <c r="D12" s="5"/>
      <c r="E12" s="5"/>
      <c r="F12" s="5"/>
      <c r="G12" s="5"/>
    </row>
    <row r="13" spans="2:7" x14ac:dyDescent="0.3">
      <c r="B13" s="5"/>
      <c r="C13" s="5"/>
      <c r="D13" s="5"/>
      <c r="E13" s="5"/>
      <c r="F13" s="5"/>
      <c r="G13" s="5"/>
    </row>
    <row r="14" spans="2:7" x14ac:dyDescent="0.3">
      <c r="B14" s="4" t="s">
        <v>5</v>
      </c>
      <c r="C14" s="4"/>
      <c r="D14" s="5"/>
      <c r="E14" s="5" t="s">
        <v>6</v>
      </c>
      <c r="F14" s="5">
        <f>C11/B15</f>
        <v>0.5</v>
      </c>
      <c r="G14" s="5"/>
    </row>
    <row r="15" spans="2:7" x14ac:dyDescent="0.3">
      <c r="B15" s="5">
        <v>6</v>
      </c>
      <c r="C15" s="5"/>
      <c r="D15" s="5"/>
      <c r="E15" s="5" t="s">
        <v>8</v>
      </c>
      <c r="F15" s="7">
        <f>D11/B15</f>
        <v>0.33333333333333331</v>
      </c>
      <c r="G15" s="5"/>
    </row>
    <row r="18" spans="2:7" ht="15.6" x14ac:dyDescent="0.3">
      <c r="B18" s="14" t="s">
        <v>9</v>
      </c>
      <c r="C18" s="14"/>
      <c r="D18" s="14"/>
      <c r="E18" s="14"/>
      <c r="F18" s="14"/>
      <c r="G18" s="14"/>
    </row>
    <row r="19" spans="2:7" x14ac:dyDescent="0.3">
      <c r="B19" s="2" t="s">
        <v>10</v>
      </c>
      <c r="C19" s="2"/>
      <c r="D19" s="2"/>
      <c r="E19" s="3"/>
      <c r="F19" s="3"/>
      <c r="G19" s="3"/>
    </row>
    <row r="20" spans="2:7" x14ac:dyDescent="0.3">
      <c r="B20" s="2" t="s">
        <v>11</v>
      </c>
      <c r="C20" s="2"/>
      <c r="D20" s="2"/>
      <c r="E20" s="3"/>
      <c r="F20" s="3"/>
      <c r="G20" s="3"/>
    </row>
    <row r="21" spans="2:7" x14ac:dyDescent="0.3">
      <c r="B21" s="15" t="s">
        <v>12</v>
      </c>
      <c r="C21" s="15"/>
      <c r="D21" s="15"/>
      <c r="E21" s="3"/>
      <c r="F21" s="3"/>
      <c r="G21" s="3"/>
    </row>
    <row r="22" spans="2:7" x14ac:dyDescent="0.3">
      <c r="B22" s="16" t="s">
        <v>13</v>
      </c>
      <c r="C22" s="16"/>
      <c r="D22" s="16"/>
      <c r="E22" s="16"/>
      <c r="F22" s="16"/>
      <c r="G22" s="16"/>
    </row>
    <row r="23" spans="2:7" x14ac:dyDescent="0.3">
      <c r="B23" s="16"/>
      <c r="C23" s="16"/>
      <c r="D23" s="16"/>
      <c r="E23" s="16"/>
      <c r="F23" s="16"/>
      <c r="G23" s="16"/>
    </row>
    <row r="25" spans="2:7" x14ac:dyDescent="0.3">
      <c r="B25" s="9" t="s">
        <v>14</v>
      </c>
      <c r="C25" s="9">
        <v>20</v>
      </c>
      <c r="D25" s="17"/>
      <c r="E25" s="9" t="s">
        <v>21</v>
      </c>
      <c r="F25" s="9" t="s">
        <v>22</v>
      </c>
      <c r="G25" s="9" t="s">
        <v>23</v>
      </c>
    </row>
    <row r="26" spans="2:7" x14ac:dyDescent="0.3">
      <c r="B26" s="9" t="s">
        <v>15</v>
      </c>
      <c r="C26" s="9">
        <v>15</v>
      </c>
      <c r="D26" s="17"/>
      <c r="E26" s="9">
        <f>C25/C28</f>
        <v>0.4</v>
      </c>
      <c r="F26" s="9">
        <f>C26/C28</f>
        <v>0.3</v>
      </c>
      <c r="G26" s="9">
        <f>C27/C28</f>
        <v>0.1</v>
      </c>
    </row>
    <row r="27" spans="2:7" x14ac:dyDescent="0.3">
      <c r="B27" s="9" t="s">
        <v>16</v>
      </c>
      <c r="C27" s="9">
        <v>5</v>
      </c>
      <c r="D27" s="17"/>
      <c r="E27" s="9"/>
      <c r="F27" s="9"/>
      <c r="G27" s="9"/>
    </row>
    <row r="28" spans="2:7" x14ac:dyDescent="0.3">
      <c r="B28" s="9" t="s">
        <v>17</v>
      </c>
      <c r="C28" s="9">
        <v>50</v>
      </c>
      <c r="D28" s="17"/>
      <c r="E28" s="9" t="s">
        <v>24</v>
      </c>
      <c r="F28" s="9" t="s">
        <v>25</v>
      </c>
      <c r="G28" s="9">
        <f>E26+F26-G26</f>
        <v>0.6</v>
      </c>
    </row>
    <row r="31" spans="2:7" x14ac:dyDescent="0.3">
      <c r="B31" s="16" t="s">
        <v>18</v>
      </c>
      <c r="C31" s="16"/>
      <c r="D31" s="16"/>
      <c r="E31" s="16"/>
      <c r="F31" s="16"/>
      <c r="G31" s="16"/>
    </row>
    <row r="32" spans="2:7" x14ac:dyDescent="0.3">
      <c r="B32" s="16"/>
      <c r="C32" s="16"/>
      <c r="D32" s="16"/>
      <c r="E32" s="16"/>
      <c r="F32" s="16"/>
      <c r="G32" s="16"/>
    </row>
    <row r="33" spans="2:7" x14ac:dyDescent="0.3">
      <c r="B33" s="16"/>
      <c r="C33" s="16"/>
      <c r="D33" s="16"/>
      <c r="E33" s="16"/>
      <c r="F33" s="16"/>
      <c r="G33" s="16"/>
    </row>
    <row r="34" spans="2:7" x14ac:dyDescent="0.3">
      <c r="B34" s="16"/>
      <c r="C34" s="16"/>
      <c r="D34" s="16"/>
      <c r="E34" s="16"/>
      <c r="F34" s="16"/>
      <c r="G34" s="16"/>
    </row>
    <row r="36" spans="2:7" x14ac:dyDescent="0.3">
      <c r="B36" s="9" t="s">
        <v>19</v>
      </c>
      <c r="C36" s="9">
        <v>3</v>
      </c>
      <c r="D36" s="5"/>
      <c r="E36" s="18" t="s">
        <v>26</v>
      </c>
      <c r="F36" s="18"/>
      <c r="G36" s="18"/>
    </row>
    <row r="37" spans="2:7" x14ac:dyDescent="0.3">
      <c r="B37" s="9" t="s">
        <v>20</v>
      </c>
      <c r="C37" s="9">
        <v>2</v>
      </c>
      <c r="D37" s="5"/>
      <c r="E37" s="18"/>
      <c r="F37" s="18"/>
      <c r="G37" s="18"/>
    </row>
    <row r="38" spans="2:7" x14ac:dyDescent="0.3">
      <c r="B38" s="9" t="s">
        <v>7</v>
      </c>
      <c r="C38" s="9">
        <v>5</v>
      </c>
      <c r="D38" s="5"/>
      <c r="E38" s="18"/>
      <c r="F38" s="18"/>
      <c r="G38" s="18"/>
    </row>
    <row r="39" spans="2:7" x14ac:dyDescent="0.3">
      <c r="B39" s="5"/>
      <c r="C39" s="5"/>
      <c r="D39" s="5"/>
      <c r="E39" s="18"/>
      <c r="F39" s="18"/>
      <c r="G39" s="18"/>
    </row>
    <row r="40" spans="2:7" x14ac:dyDescent="0.3">
      <c r="B40" s="9" t="s">
        <v>27</v>
      </c>
      <c r="C40" s="9">
        <v>2</v>
      </c>
      <c r="D40" s="5"/>
      <c r="E40" s="18"/>
      <c r="F40" s="18"/>
      <c r="G40" s="18"/>
    </row>
    <row r="41" spans="2:7" x14ac:dyDescent="0.3">
      <c r="B41" s="9" t="s">
        <v>28</v>
      </c>
      <c r="C41" s="9">
        <v>2</v>
      </c>
      <c r="D41" s="5"/>
      <c r="E41" s="5"/>
      <c r="F41" s="5"/>
      <c r="G41" s="5"/>
    </row>
    <row r="42" spans="2:7" x14ac:dyDescent="0.3">
      <c r="B42" s="9" t="s">
        <v>7</v>
      </c>
      <c r="C42" s="9">
        <v>4</v>
      </c>
      <c r="D42" s="5"/>
      <c r="E42" s="5" t="s">
        <v>29</v>
      </c>
      <c r="F42" s="5" t="s">
        <v>30</v>
      </c>
      <c r="G42" s="5">
        <f>C40/C42</f>
        <v>0.5</v>
      </c>
    </row>
    <row r="45" spans="2:7" x14ac:dyDescent="0.3">
      <c r="B45" s="1" t="s">
        <v>31</v>
      </c>
      <c r="C45" s="1"/>
      <c r="D45" s="1"/>
      <c r="E45" s="1"/>
      <c r="F45" s="1"/>
      <c r="G45" s="1"/>
    </row>
    <row r="46" spans="2:7" x14ac:dyDescent="0.3">
      <c r="B46" s="1" t="s">
        <v>32</v>
      </c>
      <c r="C46" s="1"/>
      <c r="D46" s="1"/>
      <c r="E46" s="1"/>
      <c r="F46" s="1"/>
      <c r="G46" s="1"/>
    </row>
    <row r="47" spans="2:7" x14ac:dyDescent="0.3">
      <c r="B47" s="19" t="s">
        <v>33</v>
      </c>
      <c r="C47" s="19"/>
      <c r="D47" s="19"/>
      <c r="E47" s="19"/>
      <c r="F47" s="19"/>
      <c r="G47" s="19"/>
    </row>
    <row r="49" spans="2:7" x14ac:dyDescent="0.3">
      <c r="B49" s="18" t="s">
        <v>36</v>
      </c>
      <c r="C49" s="18"/>
      <c r="D49" s="18"/>
      <c r="E49" s="18"/>
      <c r="F49" s="18"/>
      <c r="G49" s="18"/>
    </row>
    <row r="50" spans="2:7" x14ac:dyDescent="0.3">
      <c r="B50" s="18"/>
      <c r="C50" s="18"/>
      <c r="D50" s="18"/>
      <c r="E50" s="18"/>
      <c r="F50" s="18"/>
      <c r="G50" s="18"/>
    </row>
    <row r="51" spans="2:7" x14ac:dyDescent="0.3">
      <c r="B51" s="18"/>
      <c r="C51" s="18"/>
      <c r="D51" s="18"/>
      <c r="E51" s="18"/>
      <c r="F51" s="18"/>
      <c r="G51" s="18"/>
    </row>
    <row r="52" spans="2:7" x14ac:dyDescent="0.3">
      <c r="B52" s="18"/>
      <c r="C52" s="18"/>
      <c r="D52" s="18"/>
      <c r="E52" s="18"/>
      <c r="F52" s="18"/>
      <c r="G52" s="18"/>
    </row>
    <row r="55" spans="2:7" x14ac:dyDescent="0.3">
      <c r="B55" s="1" t="s">
        <v>34</v>
      </c>
      <c r="C55" s="1"/>
      <c r="D55" s="1"/>
      <c r="E55" s="1"/>
      <c r="F55" s="1"/>
      <c r="G55" s="1"/>
    </row>
    <row r="56" spans="2:7" x14ac:dyDescent="0.3">
      <c r="B56" s="19" t="s">
        <v>35</v>
      </c>
      <c r="C56" s="19"/>
      <c r="D56" s="19"/>
      <c r="E56" s="19"/>
      <c r="F56" s="19"/>
      <c r="G56" s="19"/>
    </row>
    <row r="58" spans="2:7" x14ac:dyDescent="0.3">
      <c r="B58" s="18" t="s">
        <v>37</v>
      </c>
      <c r="C58" s="18"/>
      <c r="D58" s="18"/>
      <c r="E58" s="18"/>
      <c r="F58" s="18"/>
      <c r="G58" s="18"/>
    </row>
    <row r="59" spans="2:7" x14ac:dyDescent="0.3">
      <c r="B59" s="18"/>
      <c r="C59" s="18"/>
      <c r="D59" s="18"/>
      <c r="E59" s="18"/>
      <c r="F59" s="18"/>
      <c r="G59" s="18"/>
    </row>
    <row r="60" spans="2:7" x14ac:dyDescent="0.3">
      <c r="B60" s="18"/>
      <c r="C60" s="18"/>
      <c r="D60" s="18"/>
      <c r="E60" s="18"/>
      <c r="F60" s="18"/>
      <c r="G60" s="18"/>
    </row>
    <row r="61" spans="2:7" x14ac:dyDescent="0.3">
      <c r="B61" s="17"/>
      <c r="C61" s="17"/>
      <c r="D61" s="17"/>
      <c r="E61" s="17"/>
      <c r="F61" s="17"/>
      <c r="G61" s="17"/>
    </row>
    <row r="62" spans="2:7" x14ac:dyDescent="0.3">
      <c r="B62" s="4" t="s">
        <v>38</v>
      </c>
      <c r="C62" s="4"/>
      <c r="D62" s="4"/>
      <c r="E62" s="4"/>
      <c r="F62" s="4"/>
      <c r="G62" s="4"/>
    </row>
    <row r="65" spans="2:7" x14ac:dyDescent="0.3">
      <c r="B65" s="1" t="s">
        <v>39</v>
      </c>
      <c r="C65" s="1"/>
      <c r="D65" s="1"/>
      <c r="E65" s="1"/>
      <c r="F65" s="1"/>
      <c r="G65" s="1"/>
    </row>
    <row r="66" spans="2:7" x14ac:dyDescent="0.3">
      <c r="B66" s="1" t="s">
        <v>40</v>
      </c>
      <c r="C66" s="1"/>
      <c r="D66" s="1"/>
      <c r="E66" s="1"/>
      <c r="F66" s="1"/>
      <c r="G66" s="1"/>
    </row>
    <row r="68" spans="2:7" x14ac:dyDescent="0.3">
      <c r="B68" s="8" t="s">
        <v>44</v>
      </c>
      <c r="C68" s="8"/>
      <c r="D68" s="5"/>
      <c r="E68" s="9" t="s">
        <v>41</v>
      </c>
      <c r="F68" s="9">
        <v>50000</v>
      </c>
      <c r="G68" s="5"/>
    </row>
    <row r="69" spans="2:7" x14ac:dyDescent="0.3">
      <c r="B69" s="8">
        <f>F68/SQRT(F69)</f>
        <v>5000</v>
      </c>
      <c r="C69" s="8"/>
      <c r="D69" s="5"/>
      <c r="E69" s="9" t="s">
        <v>42</v>
      </c>
      <c r="F69" s="9">
        <v>100</v>
      </c>
      <c r="G69" s="5"/>
    </row>
    <row r="70" spans="2:7" x14ac:dyDescent="0.3">
      <c r="B70" s="5"/>
      <c r="C70" s="5"/>
      <c r="D70" s="5"/>
      <c r="E70" s="5"/>
      <c r="F70" s="5"/>
      <c r="G70" s="5"/>
    </row>
    <row r="71" spans="2:7" x14ac:dyDescent="0.3">
      <c r="B71" s="8" t="s">
        <v>43</v>
      </c>
      <c r="C71" s="8"/>
      <c r="D71" s="5"/>
      <c r="E71" s="5"/>
      <c r="F71" s="5"/>
      <c r="G71" s="5"/>
    </row>
    <row r="74" spans="2:7" x14ac:dyDescent="0.3">
      <c r="B74" s="1" t="s">
        <v>45</v>
      </c>
      <c r="C74" s="1"/>
      <c r="D74" s="1"/>
      <c r="E74" s="1"/>
      <c r="F74" s="1"/>
      <c r="G74" s="1"/>
    </row>
    <row r="75" spans="2:7" x14ac:dyDescent="0.3">
      <c r="B75" s="1" t="s">
        <v>46</v>
      </c>
      <c r="C75" s="1"/>
      <c r="D75" s="1"/>
      <c r="E75" s="1"/>
      <c r="F75" s="1"/>
      <c r="G75" s="1"/>
    </row>
    <row r="76" spans="2:7" x14ac:dyDescent="0.3">
      <c r="B76" s="1" t="s">
        <v>47</v>
      </c>
      <c r="C76" s="1"/>
      <c r="D76" s="1"/>
      <c r="E76" s="1"/>
      <c r="F76" s="1"/>
      <c r="G76" s="1"/>
    </row>
    <row r="77" spans="2:7" x14ac:dyDescent="0.3">
      <c r="B77" s="1" t="s">
        <v>48</v>
      </c>
      <c r="C77" s="1"/>
      <c r="D77" s="1"/>
      <c r="E77" s="1"/>
      <c r="F77" s="1"/>
      <c r="G77" s="1"/>
    </row>
    <row r="78" spans="2:7" x14ac:dyDescent="0.3">
      <c r="B78" s="1" t="s">
        <v>49</v>
      </c>
      <c r="C78" s="1"/>
      <c r="D78" s="1"/>
      <c r="E78" s="1"/>
      <c r="F78" s="1"/>
      <c r="G78" s="1"/>
    </row>
    <row r="80" spans="2:7" x14ac:dyDescent="0.3">
      <c r="B80" s="9" t="s">
        <v>17</v>
      </c>
      <c r="C80" s="9">
        <v>100</v>
      </c>
      <c r="D80" s="17"/>
      <c r="E80" s="9" t="s">
        <v>53</v>
      </c>
      <c r="F80" s="9">
        <f>C81/C80</f>
        <v>0.4</v>
      </c>
      <c r="G80" s="17"/>
    </row>
    <row r="81" spans="2:7" x14ac:dyDescent="0.3">
      <c r="B81" s="9" t="s">
        <v>50</v>
      </c>
      <c r="C81" s="9">
        <v>40</v>
      </c>
      <c r="D81" s="17"/>
      <c r="E81" s="9" t="s">
        <v>54</v>
      </c>
      <c r="F81" s="9">
        <f>C82/C80</f>
        <v>0.3</v>
      </c>
      <c r="G81" s="17"/>
    </row>
    <row r="82" spans="2:7" x14ac:dyDescent="0.3">
      <c r="B82" s="9" t="s">
        <v>52</v>
      </c>
      <c r="C82" s="9">
        <v>30</v>
      </c>
      <c r="D82" s="17"/>
      <c r="E82" s="9" t="s">
        <v>55</v>
      </c>
      <c r="F82" s="9">
        <f>C83/C80</f>
        <v>0.1</v>
      </c>
      <c r="G82" s="17"/>
    </row>
    <row r="83" spans="2:7" x14ac:dyDescent="0.3">
      <c r="B83" s="9" t="s">
        <v>51</v>
      </c>
      <c r="C83" s="9">
        <v>10</v>
      </c>
      <c r="D83" s="17"/>
      <c r="E83" s="9" t="s">
        <v>56</v>
      </c>
      <c r="F83" s="9">
        <f>F80+F81-F82</f>
        <v>0.6</v>
      </c>
      <c r="G83" s="17"/>
    </row>
    <row r="84" spans="2:7" x14ac:dyDescent="0.3">
      <c r="B84" s="20" t="s">
        <v>57</v>
      </c>
      <c r="C84" s="20"/>
      <c r="D84" s="20"/>
      <c r="E84" s="20"/>
      <c r="F84" s="20"/>
      <c r="G84" s="20"/>
    </row>
    <row r="87" spans="2:7" x14ac:dyDescent="0.3">
      <c r="B87" s="1" t="s">
        <v>58</v>
      </c>
      <c r="C87" s="1"/>
      <c r="D87" s="1"/>
      <c r="E87" s="1"/>
      <c r="F87" s="1"/>
      <c r="G87" s="1"/>
    </row>
    <row r="88" spans="2:7" x14ac:dyDescent="0.3">
      <c r="B88" s="1" t="s">
        <v>66</v>
      </c>
      <c r="C88" s="1"/>
      <c r="D88" s="1"/>
      <c r="E88" s="1"/>
      <c r="F88" s="1"/>
      <c r="G88" s="1"/>
    </row>
    <row r="90" spans="2:7" x14ac:dyDescent="0.3">
      <c r="B90" s="5" t="s">
        <v>59</v>
      </c>
      <c r="C90" s="5">
        <v>52</v>
      </c>
      <c r="D90" s="17"/>
      <c r="E90" s="17"/>
      <c r="F90" s="17"/>
      <c r="G90" s="17"/>
    </row>
    <row r="91" spans="2:7" x14ac:dyDescent="0.3">
      <c r="B91" s="5" t="s">
        <v>60</v>
      </c>
      <c r="C91" s="5">
        <v>4</v>
      </c>
      <c r="D91" s="17"/>
      <c r="E91" s="17"/>
      <c r="F91" s="17"/>
      <c r="G91" s="17"/>
    </row>
    <row r="92" spans="2:7" x14ac:dyDescent="0.3">
      <c r="B92" s="5" t="s">
        <v>61</v>
      </c>
      <c r="C92" s="5"/>
      <c r="D92" s="17"/>
      <c r="E92" s="17"/>
      <c r="F92" s="17"/>
      <c r="G92" s="17"/>
    </row>
    <row r="93" spans="2:7" x14ac:dyDescent="0.3">
      <c r="B93" s="5" t="s">
        <v>62</v>
      </c>
      <c r="C93" s="5">
        <v>51</v>
      </c>
      <c r="D93" s="17"/>
      <c r="E93" s="17"/>
      <c r="F93" s="17"/>
      <c r="G93" s="17"/>
    </row>
    <row r="94" spans="2:7" x14ac:dyDescent="0.3">
      <c r="B94" s="5" t="s">
        <v>63</v>
      </c>
      <c r="C94" s="5">
        <v>3</v>
      </c>
      <c r="D94" s="17"/>
      <c r="E94" s="17"/>
      <c r="F94" s="17"/>
      <c r="G94" s="17"/>
    </row>
    <row r="95" spans="2:7" x14ac:dyDescent="0.3">
      <c r="B95" s="17"/>
      <c r="C95" s="17"/>
      <c r="D95" s="17"/>
      <c r="E95" s="17"/>
      <c r="F95" s="17"/>
      <c r="G95" s="17"/>
    </row>
    <row r="96" spans="2:7" x14ac:dyDescent="0.3">
      <c r="B96" s="21" t="s">
        <v>64</v>
      </c>
      <c r="C96" s="21"/>
      <c r="D96" s="17">
        <f>C91/C90 * C94/C93</f>
        <v>4.5248868778280547E-3</v>
      </c>
      <c r="E96" s="17"/>
      <c r="F96" s="17"/>
      <c r="G96" s="17"/>
    </row>
    <row r="97" spans="2:7" x14ac:dyDescent="0.3">
      <c r="B97" s="4" t="s">
        <v>65</v>
      </c>
      <c r="C97" s="4"/>
      <c r="D97" s="17"/>
      <c r="E97" s="17"/>
      <c r="F97" s="17"/>
      <c r="G97" s="17"/>
    </row>
    <row r="100" spans="2:7" x14ac:dyDescent="0.3">
      <c r="B100" s="1" t="s">
        <v>67</v>
      </c>
      <c r="C100" s="1"/>
      <c r="D100" s="1"/>
      <c r="E100" s="1"/>
      <c r="F100" s="1"/>
      <c r="G100" s="1"/>
    </row>
    <row r="101" spans="2:7" x14ac:dyDescent="0.3">
      <c r="B101" s="1" t="s">
        <v>68</v>
      </c>
      <c r="C101" s="1"/>
      <c r="D101" s="1"/>
      <c r="E101" s="1"/>
      <c r="F101" s="1"/>
      <c r="G101" s="1"/>
    </row>
    <row r="103" spans="2:7" x14ac:dyDescent="0.3">
      <c r="B103" s="9" t="s">
        <v>69</v>
      </c>
      <c r="C103" s="22">
        <v>0.02</v>
      </c>
      <c r="D103" s="9"/>
      <c r="E103" s="9" t="s">
        <v>72</v>
      </c>
      <c r="F103" s="9"/>
      <c r="G103" s="9"/>
    </row>
    <row r="104" spans="2:7" x14ac:dyDescent="0.3">
      <c r="B104" s="9" t="s">
        <v>70</v>
      </c>
      <c r="C104" s="22">
        <v>0.98</v>
      </c>
      <c r="D104" s="9"/>
      <c r="E104" s="23">
        <f>POWER(C104,C105)</f>
        <v>0.90392079679999982</v>
      </c>
      <c r="F104" s="9"/>
      <c r="G104" s="9"/>
    </row>
    <row r="105" spans="2:7" x14ac:dyDescent="0.3">
      <c r="B105" s="9" t="s">
        <v>71</v>
      </c>
      <c r="C105" s="9">
        <v>5</v>
      </c>
      <c r="D105" s="9"/>
      <c r="E105" s="9"/>
      <c r="F105" s="9"/>
      <c r="G105" s="9"/>
    </row>
    <row r="108" spans="2:7" x14ac:dyDescent="0.3">
      <c r="B108" s="1" t="s">
        <v>73</v>
      </c>
      <c r="C108" s="1"/>
      <c r="D108" s="1"/>
      <c r="E108" s="1"/>
      <c r="F108" s="1"/>
      <c r="G108" s="1"/>
    </row>
    <row r="110" spans="2:7" x14ac:dyDescent="0.3">
      <c r="B110" s="4" t="s">
        <v>74</v>
      </c>
      <c r="C110" s="4"/>
      <c r="D110" s="4"/>
      <c r="E110" s="4"/>
      <c r="F110" s="4"/>
      <c r="G110" s="4"/>
    </row>
    <row r="111" spans="2:7" x14ac:dyDescent="0.3">
      <c r="B111" s="24" t="s">
        <v>75</v>
      </c>
      <c r="C111" s="24"/>
      <c r="D111" s="24"/>
      <c r="E111" s="24"/>
      <c r="F111" s="24"/>
      <c r="G111" s="24"/>
    </row>
    <row r="112" spans="2:7" x14ac:dyDescent="0.3">
      <c r="B112" s="24"/>
      <c r="C112" s="24"/>
      <c r="D112" s="24"/>
      <c r="E112" s="24"/>
      <c r="F112" s="24"/>
      <c r="G112" s="24"/>
    </row>
  </sheetData>
  <mergeCells count="48">
    <mergeCell ref="B100:G100"/>
    <mergeCell ref="B101:G101"/>
    <mergeCell ref="B108:G108"/>
    <mergeCell ref="B111:G112"/>
    <mergeCell ref="B110:G110"/>
    <mergeCell ref="B77:G77"/>
    <mergeCell ref="B78:G78"/>
    <mergeCell ref="B84:G84"/>
    <mergeCell ref="B97:C97"/>
    <mergeCell ref="B96:C96"/>
    <mergeCell ref="B87:G87"/>
    <mergeCell ref="B88:G88"/>
    <mergeCell ref="B68:C68"/>
    <mergeCell ref="B71:C71"/>
    <mergeCell ref="B69:C69"/>
    <mergeCell ref="B74:G74"/>
    <mergeCell ref="B75:G75"/>
    <mergeCell ref="B76:G76"/>
    <mergeCell ref="B55:G55"/>
    <mergeCell ref="B56:G56"/>
    <mergeCell ref="B58:G60"/>
    <mergeCell ref="B62:G62"/>
    <mergeCell ref="B65:G65"/>
    <mergeCell ref="B66:G66"/>
    <mergeCell ref="E36:G40"/>
    <mergeCell ref="B45:G45"/>
    <mergeCell ref="B46:G46"/>
    <mergeCell ref="B47:G47"/>
    <mergeCell ref="B49:G52"/>
    <mergeCell ref="B19:D19"/>
    <mergeCell ref="B20:D20"/>
    <mergeCell ref="B21:D21"/>
    <mergeCell ref="B18:G18"/>
    <mergeCell ref="B22:G23"/>
    <mergeCell ref="B31:G34"/>
    <mergeCell ref="B10:C10"/>
    <mergeCell ref="D7:F7"/>
    <mergeCell ref="D8:F8"/>
    <mergeCell ref="D9:F9"/>
    <mergeCell ref="B14:C14"/>
    <mergeCell ref="D10:F10"/>
    <mergeCell ref="D11:F11"/>
    <mergeCell ref="B3:G3"/>
    <mergeCell ref="B4:D4"/>
    <mergeCell ref="B5:D5"/>
    <mergeCell ref="B7:C7"/>
    <mergeCell ref="B8:C8"/>
    <mergeCell ref="B9:C9"/>
  </mergeCells>
  <phoneticPr fontId="3"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DURGATINASHINEE</dc:creator>
  <cp:lastModifiedBy>D DURGATINASHINEE</cp:lastModifiedBy>
  <dcterms:created xsi:type="dcterms:W3CDTF">2026-01-05T05:12:51Z</dcterms:created>
  <dcterms:modified xsi:type="dcterms:W3CDTF">2026-01-05T06:43:05Z</dcterms:modified>
</cp:coreProperties>
</file>