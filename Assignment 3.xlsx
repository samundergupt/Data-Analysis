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9675c409fbe468/Pictures/Desktop/"/>
    </mc:Choice>
  </mc:AlternateContent>
  <xr:revisionPtr revIDLastSave="306" documentId="8_{AD0072E3-8668-4C42-ADA2-E4A0B0924EDB}" xr6:coauthVersionLast="47" xr6:coauthVersionMax="47" xr10:uidLastSave="{96114527-C2E6-4014-A90D-8131AB227700}"/>
  <bookViews>
    <workbookView xWindow="-108" yWindow="-108" windowWidth="23256" windowHeight="12456" xr2:uid="{C72CC54D-A1B8-44DA-8CAD-F1E8AA8E2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92" i="1" l="1"/>
  <c r="F81" i="1"/>
  <c r="G70" i="1"/>
  <c r="G71" i="1"/>
  <c r="G69" i="1"/>
  <c r="F59" i="1"/>
  <c r="F43" i="1"/>
  <c r="D33" i="1"/>
  <c r="D34" i="1"/>
  <c r="D35" i="1"/>
  <c r="D36" i="1"/>
  <c r="D32" i="1"/>
  <c r="E22" i="1"/>
  <c r="E23" i="1"/>
  <c r="E24" i="1"/>
  <c r="E25" i="1"/>
  <c r="D11" i="1"/>
  <c r="D12" i="1"/>
  <c r="D13" i="1"/>
  <c r="D14" i="1"/>
  <c r="D10" i="1"/>
</calcChain>
</file>

<file path=xl/sharedStrings.xml><?xml version="1.0" encoding="utf-8"?>
<sst xmlns="http://schemas.openxmlformats.org/spreadsheetml/2006/main" count="90" uniqueCount="73">
  <si>
    <t>Student Name</t>
  </si>
  <si>
    <t>Marks</t>
  </si>
  <si>
    <t>Riya</t>
  </si>
  <si>
    <t>Siya</t>
  </si>
  <si>
    <t>Raju</t>
  </si>
  <si>
    <t>Rahul</t>
  </si>
  <si>
    <t>Ram</t>
  </si>
  <si>
    <t>Result</t>
  </si>
  <si>
    <t>Formula used is :- =IF(C10&gt;=40, "Pass", "Fail")</t>
  </si>
  <si>
    <t>.</t>
  </si>
  <si>
    <t>1. Write a formula to check if the marks in cell B2 are greater than or equal to 40. If yes return "Pass", otherwise  "Fail".</t>
  </si>
  <si>
    <t>2. A company gives a bonus  if sales are above 40,000 and attendance is greater than or equal to 90%. Write a formula to calculate whether the employee will get a bonus or not .</t>
  </si>
  <si>
    <t>Employee</t>
  </si>
  <si>
    <t>Arjun</t>
  </si>
  <si>
    <t>Simran</t>
  </si>
  <si>
    <t>Rohit</t>
  </si>
  <si>
    <t>Anjali</t>
  </si>
  <si>
    <t>Sales</t>
  </si>
  <si>
    <t>Attendance</t>
  </si>
  <si>
    <t>Bonus</t>
  </si>
  <si>
    <t>Formula Used :- =IF(AND(C22&gt;40000, D22&gt;=90), "Yes", "No")</t>
  </si>
  <si>
    <t>If marks in B2 are ≥ 90 → “A”, ≥ 75 → “B”, ≥ 50 → “C”, otherwise "Fail”.</t>
  </si>
  <si>
    <t>3. Write a nested IF formula:</t>
  </si>
  <si>
    <t>Raj</t>
  </si>
  <si>
    <t>Neha</t>
  </si>
  <si>
    <t>Vivek</t>
  </si>
  <si>
    <t>Rani</t>
  </si>
  <si>
    <t>Sneha</t>
  </si>
  <si>
    <t>Grades</t>
  </si>
  <si>
    <t>Nested If:- =IF(C32&gt;=90, "A", IF(C32&gt;=75, "B", IF(C32&gt;=50, "C", "Fail")))</t>
  </si>
  <si>
    <t>4. Find the Department of Employee ID = E103. Also explain which LOOKUP function is used and why?</t>
  </si>
  <si>
    <t>EmpID</t>
  </si>
  <si>
    <t>E101</t>
  </si>
  <si>
    <t>E102</t>
  </si>
  <si>
    <t>E103</t>
  </si>
  <si>
    <t>E104</t>
  </si>
  <si>
    <t>Sejal</t>
  </si>
  <si>
    <t>Roshni</t>
  </si>
  <si>
    <t>Name</t>
  </si>
  <si>
    <t>Department</t>
  </si>
  <si>
    <t>IT</t>
  </si>
  <si>
    <t>HR</t>
  </si>
  <si>
    <t>Finance</t>
  </si>
  <si>
    <t>Formula :- =VLOOKUP("E103", B43:D46, 3, FALSE)</t>
  </si>
  <si>
    <t>VLOOKUP is used because the Employee ID is in the first Column and we need to retrieve data from a column to the right of it.</t>
  </si>
  <si>
    <t>5. A company has set the following commission structure for its sales team:</t>
  </si>
  <si>
    <t xml:space="preserve">Sales Amount </t>
  </si>
  <si>
    <t>Comission Rate</t>
  </si>
  <si>
    <t>If a salesperson achieves sales of ₹45,000, use the VLOOKUP function to determine the commission rate applicable.</t>
  </si>
  <si>
    <t>Formula:- =VLOOKUP( 45000, C59:D62, 2, TRUE)</t>
  </si>
  <si>
    <t>6. The HR department maintains the following leave records of employees:onus or not .</t>
  </si>
  <si>
    <t xml:space="preserve">Employee Name </t>
  </si>
  <si>
    <t>Alex</t>
  </si>
  <si>
    <t>Bob</t>
  </si>
  <si>
    <t>Anna</t>
  </si>
  <si>
    <t>Leaves Taken</t>
  </si>
  <si>
    <t>Leaves Allowed</t>
  </si>
  <si>
    <t>Write an IF function to check whether an employee has Exceeded their allowed leave balance.</t>
  </si>
  <si>
    <t>• If Leaves Taken &gt; Allowed Leaves, display "Exceeded".</t>
  </si>
  <si>
    <t>• Otherwise, display "OK".</t>
  </si>
  <si>
    <t>Status</t>
  </si>
  <si>
    <t>Formula:- =IF(D69&gt;E69, "Exceeded", "OK" )</t>
  </si>
  <si>
    <t>E303</t>
  </si>
  <si>
    <t>E106</t>
  </si>
  <si>
    <t>E301</t>
  </si>
  <si>
    <t>Salary</t>
  </si>
  <si>
    <t>E105</t>
  </si>
  <si>
    <t>7. Find the salary of EmpID = E105 using INDEX-MATCH Function.</t>
  </si>
  <si>
    <t>8. Use the XLOOKUP function to find the Department of the employee with Emp ID = E303.</t>
  </si>
  <si>
    <t>Salary of E105</t>
  </si>
  <si>
    <t>Formula - =INDEX(D81:D84, MATCH("E105", C81:C84, 0))</t>
  </si>
  <si>
    <t>Formula: =XLOOKUP("E303", C92:C95, D92:D95)</t>
  </si>
  <si>
    <t xml:space="preserve">Result -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</si>
</sst>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9" fontId="3" fillId="3" borderId="3" xfId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CCE15-1AB4-4574-880E-EE10A66BD957}">
  <dimension ref="B5:K95"/>
  <sheetViews>
    <sheetView tabSelected="1" zoomScale="99" workbookViewId="0">
      <selection activeCell="N18" sqref="N18"/>
    </sheetView>
  </sheetViews>
  <sheetFormatPr defaultRowHeight="14.4" x14ac:dyDescent="0.3"/>
  <cols>
    <col min="1" max="1" width="8.88671875" style="2"/>
    <col min="2" max="2" width="13.21875" style="2" bestFit="1" customWidth="1"/>
    <col min="3" max="3" width="15.33203125" style="2" bestFit="1" customWidth="1"/>
    <col min="4" max="4" width="13.88671875" style="2" bestFit="1" customWidth="1"/>
    <col min="5" max="5" width="14" style="2" bestFit="1" customWidth="1"/>
    <col min="6" max="6" width="14.109375" style="2" bestFit="1" customWidth="1"/>
    <col min="7" max="16384" width="8.88671875" style="2"/>
  </cols>
  <sheetData>
    <row r="5" spans="2:11" ht="18" customHeight="1" x14ac:dyDescent="0.3">
      <c r="B5" s="7" t="s">
        <v>10</v>
      </c>
      <c r="C5" s="7"/>
      <c r="D5" s="7"/>
      <c r="E5" s="7"/>
      <c r="F5" s="7"/>
      <c r="G5" s="7"/>
      <c r="H5" s="7"/>
      <c r="I5" s="7"/>
      <c r="J5" s="7"/>
      <c r="K5" s="7"/>
    </row>
    <row r="6" spans="2:11" x14ac:dyDescent="0.3">
      <c r="B6" s="7"/>
      <c r="C6" s="7"/>
      <c r="D6" s="7"/>
      <c r="E6" s="7"/>
      <c r="F6" s="7"/>
      <c r="G6" s="7"/>
      <c r="H6" s="7"/>
      <c r="I6" s="7"/>
      <c r="J6" s="7"/>
      <c r="K6" s="7"/>
    </row>
    <row r="7" spans="2:11" x14ac:dyDescent="0.3">
      <c r="B7" s="7"/>
      <c r="C7" s="7"/>
      <c r="D7" s="7"/>
      <c r="E7" s="7"/>
      <c r="F7" s="7"/>
      <c r="G7" s="7"/>
      <c r="H7" s="7"/>
      <c r="I7" s="7"/>
      <c r="J7" s="7"/>
      <c r="K7" s="7"/>
    </row>
    <row r="9" spans="2:11" ht="14.4" customHeight="1" x14ac:dyDescent="0.3">
      <c r="B9" s="4" t="s">
        <v>0</v>
      </c>
      <c r="C9" s="4" t="s">
        <v>1</v>
      </c>
      <c r="D9" s="8" t="s">
        <v>7</v>
      </c>
      <c r="E9" s="20" t="s">
        <v>8</v>
      </c>
      <c r="F9" s="20"/>
      <c r="G9" s="20"/>
      <c r="H9" s="6"/>
    </row>
    <row r="10" spans="2:11" x14ac:dyDescent="0.3">
      <c r="B10" s="5" t="s">
        <v>2</v>
      </c>
      <c r="C10" s="5">
        <v>45</v>
      </c>
      <c r="D10" s="8" t="str">
        <f>IF($C10&gt;=40, "Pass", "Fail")</f>
        <v>Pass</v>
      </c>
      <c r="E10" s="20"/>
      <c r="F10" s="20"/>
      <c r="G10" s="20"/>
      <c r="H10" s="6"/>
    </row>
    <row r="11" spans="2:11" x14ac:dyDescent="0.3">
      <c r="B11" s="5" t="s">
        <v>3</v>
      </c>
      <c r="C11" s="5">
        <v>72</v>
      </c>
      <c r="D11" s="8" t="str">
        <f t="shared" ref="D11:D14" si="0">IF($C11&gt;=40, "Pass", "Fail")</f>
        <v>Pass</v>
      </c>
      <c r="E11" s="20"/>
      <c r="F11" s="20"/>
      <c r="G11" s="20"/>
      <c r="H11" s="6"/>
    </row>
    <row r="12" spans="2:11" x14ac:dyDescent="0.3">
      <c r="B12" s="5" t="s">
        <v>4</v>
      </c>
      <c r="C12" s="5">
        <v>55</v>
      </c>
      <c r="D12" s="8" t="str">
        <f t="shared" si="0"/>
        <v>Pass</v>
      </c>
      <c r="E12" s="2" t="s">
        <v>9</v>
      </c>
    </row>
    <row r="13" spans="2:11" x14ac:dyDescent="0.3">
      <c r="B13" s="5" t="s">
        <v>5</v>
      </c>
      <c r="C13" s="5">
        <v>80</v>
      </c>
      <c r="D13" s="8" t="str">
        <f t="shared" si="0"/>
        <v>Pass</v>
      </c>
    </row>
    <row r="14" spans="2:11" x14ac:dyDescent="0.3">
      <c r="B14" s="5" t="s">
        <v>6</v>
      </c>
      <c r="C14" s="5">
        <v>30</v>
      </c>
      <c r="D14" s="8" t="str">
        <f t="shared" si="0"/>
        <v>Fail</v>
      </c>
    </row>
    <row r="17" spans="2:11" x14ac:dyDescent="0.3">
      <c r="B17" s="7" t="s">
        <v>11</v>
      </c>
      <c r="C17" s="7"/>
      <c r="D17" s="7"/>
      <c r="E17" s="7"/>
      <c r="F17" s="7"/>
      <c r="G17" s="7"/>
      <c r="H17" s="7"/>
      <c r="I17" s="7"/>
      <c r="J17" s="7"/>
      <c r="K17" s="7"/>
    </row>
    <row r="18" spans="2:11" x14ac:dyDescent="0.3">
      <c r="B18" s="7"/>
      <c r="C18" s="7"/>
      <c r="D18" s="7"/>
      <c r="E18" s="7"/>
      <c r="F18" s="7"/>
      <c r="G18" s="7"/>
      <c r="H18" s="7"/>
      <c r="I18" s="7"/>
      <c r="J18" s="7"/>
      <c r="K18" s="7"/>
    </row>
    <row r="19" spans="2:11" x14ac:dyDescent="0.3">
      <c r="B19" s="7"/>
      <c r="C19" s="7"/>
      <c r="D19" s="7"/>
      <c r="E19" s="7"/>
      <c r="F19" s="7"/>
      <c r="G19" s="7"/>
      <c r="H19" s="7"/>
      <c r="I19" s="7"/>
      <c r="J19" s="7"/>
      <c r="K19" s="7"/>
    </row>
    <row r="21" spans="2:11" x14ac:dyDescent="0.3">
      <c r="B21" s="4" t="s">
        <v>12</v>
      </c>
      <c r="C21" s="4" t="s">
        <v>17</v>
      </c>
      <c r="D21" s="4" t="s">
        <v>18</v>
      </c>
      <c r="E21" s="8" t="s">
        <v>19</v>
      </c>
      <c r="F21" s="9" t="s">
        <v>20</v>
      </c>
      <c r="G21" s="10"/>
      <c r="H21" s="10"/>
      <c r="I21" s="10"/>
    </row>
    <row r="22" spans="2:11" x14ac:dyDescent="0.3">
      <c r="B22" s="5" t="s">
        <v>13</v>
      </c>
      <c r="C22" s="5">
        <v>55000</v>
      </c>
      <c r="D22" s="5">
        <v>95</v>
      </c>
      <c r="E22" s="8" t="str">
        <f>IF(AND($C22&gt;40000, $D22&gt;=90), "Yes", "No")</f>
        <v>Yes</v>
      </c>
      <c r="F22" s="9"/>
      <c r="G22" s="10"/>
      <c r="H22" s="10"/>
      <c r="I22" s="10"/>
    </row>
    <row r="23" spans="2:11" x14ac:dyDescent="0.3">
      <c r="B23" s="5" t="s">
        <v>14</v>
      </c>
      <c r="C23" s="5">
        <v>65000</v>
      </c>
      <c r="D23" s="5">
        <v>85</v>
      </c>
      <c r="E23" s="8" t="str">
        <f t="shared" ref="E23:E25" si="1">IF(AND(C23&gt;40000, D23&gt;=90), "Yes", "No")</f>
        <v>No</v>
      </c>
      <c r="F23" s="9"/>
      <c r="G23" s="10"/>
      <c r="H23" s="10"/>
      <c r="I23" s="10"/>
    </row>
    <row r="24" spans="2:11" x14ac:dyDescent="0.3">
      <c r="B24" s="5" t="s">
        <v>15</v>
      </c>
      <c r="C24" s="5">
        <v>30000</v>
      </c>
      <c r="D24" s="5">
        <v>90</v>
      </c>
      <c r="E24" s="8" t="str">
        <f t="shared" si="1"/>
        <v>No</v>
      </c>
    </row>
    <row r="25" spans="2:11" x14ac:dyDescent="0.3">
      <c r="B25" s="5" t="s">
        <v>16</v>
      </c>
      <c r="C25" s="5">
        <v>25000</v>
      </c>
      <c r="D25" s="5">
        <v>65</v>
      </c>
      <c r="E25" s="8" t="str">
        <f t="shared" si="1"/>
        <v>No</v>
      </c>
    </row>
    <row r="28" spans="2:11" ht="15.6" x14ac:dyDescent="0.3">
      <c r="B28" s="11" t="s">
        <v>22</v>
      </c>
      <c r="C28" s="11"/>
      <c r="D28" s="11"/>
      <c r="E28" s="11"/>
      <c r="F28" s="11"/>
      <c r="G28" s="11"/>
      <c r="H28" s="11"/>
    </row>
    <row r="29" spans="2:11" ht="15.6" x14ac:dyDescent="0.3">
      <c r="B29" s="11" t="s">
        <v>21</v>
      </c>
      <c r="C29" s="11"/>
      <c r="D29" s="11"/>
      <c r="E29" s="11"/>
      <c r="F29" s="11"/>
      <c r="G29" s="11"/>
      <c r="H29" s="11"/>
      <c r="I29" s="3"/>
      <c r="J29" s="3"/>
      <c r="K29" s="3"/>
    </row>
    <row r="30" spans="2:11" x14ac:dyDescent="0.3">
      <c r="B30" s="1"/>
    </row>
    <row r="31" spans="2:11" x14ac:dyDescent="0.3">
      <c r="B31" s="4" t="s">
        <v>0</v>
      </c>
      <c r="C31" s="4" t="s">
        <v>1</v>
      </c>
      <c r="D31" s="8" t="s">
        <v>28</v>
      </c>
      <c r="E31" s="9" t="s">
        <v>29</v>
      </c>
      <c r="F31" s="10"/>
      <c r="G31" s="10"/>
      <c r="H31" s="10"/>
      <c r="I31" s="10"/>
    </row>
    <row r="32" spans="2:11" x14ac:dyDescent="0.3">
      <c r="B32" s="5" t="s">
        <v>23</v>
      </c>
      <c r="C32" s="5">
        <v>85</v>
      </c>
      <c r="D32" s="8" t="str">
        <f>IF(C32&gt;=90,"A",IF(C32&gt;=75,"B",IF(C32&gt;=50,"C","Fail")))</f>
        <v>B</v>
      </c>
      <c r="E32" s="9"/>
      <c r="F32" s="10"/>
      <c r="G32" s="10"/>
      <c r="H32" s="10"/>
      <c r="I32" s="10"/>
    </row>
    <row r="33" spans="2:9" x14ac:dyDescent="0.3">
      <c r="B33" s="5" t="s">
        <v>24</v>
      </c>
      <c r="C33" s="5">
        <v>96</v>
      </c>
      <c r="D33" s="8" t="str">
        <f t="shared" ref="D33:D36" si="2">IF(C33&gt;=90,"A",IF(C33&gt;=75,"B",IF(C33&gt;=50,"C","Fail")))</f>
        <v>A</v>
      </c>
      <c r="E33" s="9"/>
      <c r="F33" s="10"/>
      <c r="G33" s="10"/>
      <c r="H33" s="10"/>
      <c r="I33" s="10"/>
    </row>
    <row r="34" spans="2:9" x14ac:dyDescent="0.3">
      <c r="B34" s="5" t="s">
        <v>25</v>
      </c>
      <c r="C34" s="5">
        <v>57</v>
      </c>
      <c r="D34" s="8" t="str">
        <f t="shared" si="2"/>
        <v>C</v>
      </c>
      <c r="E34" s="9"/>
      <c r="F34" s="10"/>
      <c r="G34" s="10"/>
      <c r="H34" s="10"/>
      <c r="I34" s="10"/>
    </row>
    <row r="35" spans="2:9" x14ac:dyDescent="0.3">
      <c r="B35" s="5" t="s">
        <v>26</v>
      </c>
      <c r="C35" s="5">
        <v>92</v>
      </c>
      <c r="D35" s="8" t="str">
        <f t="shared" si="2"/>
        <v>A</v>
      </c>
    </row>
    <row r="36" spans="2:9" x14ac:dyDescent="0.3">
      <c r="B36" s="5" t="s">
        <v>27</v>
      </c>
      <c r="C36" s="5">
        <v>75</v>
      </c>
      <c r="D36" s="8" t="str">
        <f t="shared" si="2"/>
        <v>B</v>
      </c>
    </row>
    <row r="38" spans="2:9" x14ac:dyDescent="0.3">
      <c r="B38" s="7" t="s">
        <v>30</v>
      </c>
      <c r="C38" s="7"/>
      <c r="D38" s="7"/>
      <c r="E38" s="7"/>
      <c r="F38" s="7"/>
      <c r="G38" s="7"/>
      <c r="H38" s="7"/>
      <c r="I38" s="7"/>
    </row>
    <row r="39" spans="2:9" x14ac:dyDescent="0.3">
      <c r="B39" s="7"/>
      <c r="C39" s="7"/>
      <c r="D39" s="7"/>
      <c r="E39" s="7"/>
      <c r="F39" s="7"/>
      <c r="G39" s="7"/>
      <c r="H39" s="7"/>
      <c r="I39" s="7"/>
    </row>
    <row r="40" spans="2:9" x14ac:dyDescent="0.3">
      <c r="B40" s="7"/>
      <c r="C40" s="7"/>
      <c r="D40" s="7"/>
      <c r="E40" s="7"/>
      <c r="F40" s="7"/>
      <c r="G40" s="7"/>
      <c r="H40" s="7"/>
      <c r="I40" s="7"/>
    </row>
    <row r="42" spans="2:9" x14ac:dyDescent="0.3">
      <c r="B42" s="4" t="s">
        <v>31</v>
      </c>
      <c r="C42" s="4" t="s">
        <v>38</v>
      </c>
      <c r="D42" s="4" t="s">
        <v>39</v>
      </c>
      <c r="F42" s="8" t="s">
        <v>34</v>
      </c>
    </row>
    <row r="43" spans="2:9" x14ac:dyDescent="0.3">
      <c r="B43" s="5" t="s">
        <v>32</v>
      </c>
      <c r="C43" s="5" t="s">
        <v>4</v>
      </c>
      <c r="D43" s="5" t="s">
        <v>40</v>
      </c>
      <c r="F43" s="8" t="str">
        <f>VLOOKUP(F42,B43:D46, 3, FALSE)</f>
        <v>Finance</v>
      </c>
    </row>
    <row r="44" spans="2:9" ht="14.4" customHeight="1" x14ac:dyDescent="0.3">
      <c r="B44" s="5" t="s">
        <v>33</v>
      </c>
      <c r="C44" s="5" t="s">
        <v>2</v>
      </c>
      <c r="D44" s="5" t="s">
        <v>41</v>
      </c>
      <c r="F44" s="13" t="s">
        <v>43</v>
      </c>
      <c r="G44" s="13"/>
      <c r="H44" s="13"/>
      <c r="I44" s="13"/>
    </row>
    <row r="45" spans="2:9" ht="14.4" customHeight="1" x14ac:dyDescent="0.3">
      <c r="B45" s="5" t="s">
        <v>34</v>
      </c>
      <c r="C45" s="5" t="s">
        <v>37</v>
      </c>
      <c r="D45" s="5" t="s">
        <v>42</v>
      </c>
      <c r="F45" s="13"/>
      <c r="G45" s="13"/>
      <c r="H45" s="13"/>
      <c r="I45" s="13"/>
    </row>
    <row r="46" spans="2:9" x14ac:dyDescent="0.3">
      <c r="B46" s="5" t="s">
        <v>35</v>
      </c>
      <c r="C46" s="5" t="s">
        <v>36</v>
      </c>
      <c r="D46" s="5" t="s">
        <v>17</v>
      </c>
      <c r="F46" s="13"/>
      <c r="G46" s="13"/>
      <c r="H46" s="13"/>
      <c r="I46" s="13"/>
    </row>
    <row r="48" spans="2:9" x14ac:dyDescent="0.3">
      <c r="B48" s="12" t="s">
        <v>44</v>
      </c>
      <c r="C48" s="12"/>
      <c r="D48" s="12"/>
      <c r="E48" s="12"/>
      <c r="F48" s="12"/>
      <c r="G48" s="12"/>
      <c r="H48" s="12"/>
      <c r="I48" s="12"/>
    </row>
    <row r="49" spans="2:10" x14ac:dyDescent="0.3">
      <c r="B49" s="12"/>
      <c r="C49" s="12"/>
      <c r="D49" s="12"/>
      <c r="E49" s="12"/>
      <c r="F49" s="12"/>
      <c r="G49" s="12"/>
      <c r="H49" s="12"/>
      <c r="I49" s="12"/>
    </row>
    <row r="50" spans="2:10" x14ac:dyDescent="0.3">
      <c r="B50" s="12"/>
      <c r="C50" s="12"/>
      <c r="D50" s="12"/>
      <c r="E50" s="12"/>
      <c r="F50" s="12"/>
      <c r="G50" s="12"/>
      <c r="H50" s="12"/>
      <c r="I50" s="12"/>
    </row>
    <row r="51" spans="2:10" x14ac:dyDescent="0.3">
      <c r="B51" s="12"/>
      <c r="C51" s="12"/>
      <c r="D51" s="12"/>
      <c r="E51" s="12"/>
      <c r="F51" s="12"/>
      <c r="G51" s="12"/>
      <c r="H51" s="12"/>
      <c r="I51" s="12"/>
    </row>
    <row r="53" spans="2:10" ht="14.4" customHeight="1" x14ac:dyDescent="0.3">
      <c r="B53" s="7" t="s">
        <v>45</v>
      </c>
      <c r="C53" s="7"/>
      <c r="D53" s="7"/>
      <c r="E53" s="7"/>
      <c r="F53" s="7"/>
      <c r="G53" s="7"/>
      <c r="H53" s="7"/>
      <c r="I53" s="7"/>
      <c r="J53" s="7"/>
    </row>
    <row r="54" spans="2:10" ht="14.4" customHeight="1" x14ac:dyDescent="0.3">
      <c r="B54" s="7"/>
      <c r="C54" s="7"/>
      <c r="D54" s="7"/>
      <c r="E54" s="7"/>
      <c r="F54" s="7"/>
      <c r="G54" s="7"/>
      <c r="H54" s="7"/>
      <c r="I54" s="7"/>
      <c r="J54" s="7"/>
    </row>
    <row r="55" spans="2:10" x14ac:dyDescent="0.3">
      <c r="B55" s="7" t="s">
        <v>48</v>
      </c>
      <c r="C55" s="7"/>
      <c r="D55" s="7"/>
      <c r="E55" s="7"/>
      <c r="F55" s="7"/>
      <c r="G55" s="7"/>
      <c r="H55" s="7"/>
      <c r="I55" s="7"/>
      <c r="J55" s="7"/>
    </row>
    <row r="56" spans="2:10" x14ac:dyDescent="0.3">
      <c r="B56" s="7"/>
      <c r="C56" s="7"/>
      <c r="D56" s="7"/>
      <c r="E56" s="7"/>
      <c r="F56" s="7"/>
      <c r="G56" s="7"/>
      <c r="H56" s="7"/>
      <c r="I56" s="7"/>
      <c r="J56" s="7"/>
    </row>
    <row r="58" spans="2:10" ht="15.6" x14ac:dyDescent="0.3">
      <c r="C58" s="4" t="s">
        <v>46</v>
      </c>
      <c r="D58" s="4" t="s">
        <v>47</v>
      </c>
      <c r="F58" s="16">
        <v>45000</v>
      </c>
    </row>
    <row r="59" spans="2:10" ht="15.6" x14ac:dyDescent="0.3">
      <c r="C59" s="5">
        <v>0</v>
      </c>
      <c r="D59" s="14">
        <v>0.05</v>
      </c>
      <c r="F59" s="17">
        <f>+VLOOKUP(F58,C59:D62,2,TRUE)</f>
        <v>0.1</v>
      </c>
    </row>
    <row r="60" spans="2:10" x14ac:dyDescent="0.3">
      <c r="C60" s="5">
        <v>20000</v>
      </c>
      <c r="D60" s="14">
        <v>0.1</v>
      </c>
      <c r="F60" s="13" t="s">
        <v>49</v>
      </c>
      <c r="G60" s="13"/>
      <c r="H60" s="13"/>
      <c r="I60" s="13"/>
      <c r="J60" s="13"/>
    </row>
    <row r="61" spans="2:10" x14ac:dyDescent="0.3">
      <c r="C61" s="5">
        <v>50000</v>
      </c>
      <c r="D61" s="14">
        <v>0.15</v>
      </c>
      <c r="F61" s="13"/>
      <c r="G61" s="13"/>
      <c r="H61" s="13"/>
      <c r="I61" s="13"/>
      <c r="J61" s="13"/>
    </row>
    <row r="62" spans="2:10" ht="14.4" customHeight="1" x14ac:dyDescent="0.3">
      <c r="C62" s="5">
        <v>80000</v>
      </c>
      <c r="D62" s="14">
        <v>0.2</v>
      </c>
      <c r="F62" s="13"/>
      <c r="G62" s="13"/>
      <c r="H62" s="13"/>
      <c r="I62" s="13"/>
      <c r="J62" s="13"/>
    </row>
    <row r="63" spans="2:10" ht="14.4" customHeight="1" x14ac:dyDescent="0.3"/>
    <row r="65" spans="2:10" x14ac:dyDescent="0.3">
      <c r="B65" s="7" t="s">
        <v>50</v>
      </c>
      <c r="C65" s="7"/>
      <c r="D65" s="7"/>
      <c r="E65" s="7"/>
      <c r="F65" s="7"/>
      <c r="G65" s="7"/>
      <c r="H65" s="7"/>
      <c r="I65" s="7"/>
      <c r="J65" s="7"/>
    </row>
    <row r="66" spans="2:10" x14ac:dyDescent="0.3">
      <c r="B66" s="7"/>
      <c r="C66" s="7"/>
      <c r="D66" s="7"/>
      <c r="E66" s="7"/>
      <c r="F66" s="7"/>
      <c r="G66" s="7"/>
      <c r="H66" s="7"/>
      <c r="I66" s="7"/>
      <c r="J66" s="7"/>
    </row>
    <row r="68" spans="2:10" x14ac:dyDescent="0.3">
      <c r="C68" s="4" t="s">
        <v>51</v>
      </c>
      <c r="D68" s="4" t="s">
        <v>55</v>
      </c>
      <c r="E68" s="4" t="s">
        <v>56</v>
      </c>
      <c r="G68" s="8" t="s">
        <v>60</v>
      </c>
      <c r="H68" s="13" t="s">
        <v>61</v>
      </c>
      <c r="I68" s="13"/>
      <c r="J68" s="13"/>
    </row>
    <row r="69" spans="2:10" x14ac:dyDescent="0.3">
      <c r="C69" s="5" t="s">
        <v>52</v>
      </c>
      <c r="D69" s="5">
        <v>10</v>
      </c>
      <c r="E69" s="5">
        <v>12</v>
      </c>
      <c r="G69" s="8" t="str">
        <f>IF($D69&gt;$E69, "Exceeded", "OK")</f>
        <v>OK</v>
      </c>
      <c r="H69" s="13"/>
      <c r="I69" s="13"/>
      <c r="J69" s="13"/>
    </row>
    <row r="70" spans="2:10" x14ac:dyDescent="0.3">
      <c r="C70" s="5" t="s">
        <v>53</v>
      </c>
      <c r="D70" s="5">
        <v>10</v>
      </c>
      <c r="E70" s="5">
        <v>15</v>
      </c>
      <c r="G70" s="8" t="str">
        <f t="shared" ref="G70:G71" si="3">IF($D70&gt;$E70, "Exceeded", "OK")</f>
        <v>OK</v>
      </c>
      <c r="H70" s="13"/>
      <c r="I70" s="13"/>
      <c r="J70" s="13"/>
    </row>
    <row r="71" spans="2:10" x14ac:dyDescent="0.3">
      <c r="C71" s="5" t="s">
        <v>54</v>
      </c>
      <c r="D71" s="5">
        <v>8</v>
      </c>
      <c r="E71" s="5">
        <v>12</v>
      </c>
      <c r="G71" s="8" t="str">
        <f t="shared" si="3"/>
        <v>OK</v>
      </c>
      <c r="H71" s="13"/>
      <c r="I71" s="13"/>
      <c r="J71" s="13"/>
    </row>
    <row r="73" spans="2:10" ht="15.6" x14ac:dyDescent="0.3">
      <c r="B73" s="18" t="s">
        <v>57</v>
      </c>
      <c r="C73" s="18"/>
      <c r="D73" s="18"/>
      <c r="E73" s="18"/>
      <c r="F73" s="18"/>
      <c r="G73" s="18"/>
      <c r="H73" s="18"/>
      <c r="I73" s="18"/>
      <c r="J73" s="18"/>
    </row>
    <row r="74" spans="2:10" ht="15.6" x14ac:dyDescent="0.3">
      <c r="B74" s="19" t="s">
        <v>58</v>
      </c>
      <c r="C74" s="19"/>
      <c r="D74" s="19"/>
      <c r="E74" s="19"/>
      <c r="F74" s="19"/>
      <c r="G74" s="19"/>
      <c r="H74" s="19"/>
      <c r="I74" s="19"/>
      <c r="J74" s="19"/>
    </row>
    <row r="75" spans="2:10" ht="15.6" x14ac:dyDescent="0.3">
      <c r="B75" s="19" t="s">
        <v>59</v>
      </c>
      <c r="C75" s="19"/>
      <c r="D75" s="19"/>
      <c r="E75" s="19"/>
      <c r="F75" s="19"/>
      <c r="G75" s="19"/>
      <c r="H75" s="19"/>
      <c r="I75" s="19"/>
      <c r="J75" s="19"/>
    </row>
    <row r="77" spans="2:10" ht="14.4" customHeight="1" x14ac:dyDescent="0.3">
      <c r="B77" s="7" t="s">
        <v>67</v>
      </c>
      <c r="C77" s="7"/>
      <c r="D77" s="7"/>
      <c r="E77" s="7"/>
      <c r="F77" s="7"/>
      <c r="G77" s="7"/>
      <c r="H77" s="7"/>
      <c r="I77" s="7"/>
    </row>
    <row r="78" spans="2:10" ht="14.4" customHeight="1" x14ac:dyDescent="0.3">
      <c r="B78" s="7"/>
      <c r="C78" s="7"/>
      <c r="D78" s="7"/>
      <c r="E78" s="7"/>
      <c r="F78" s="7"/>
      <c r="G78" s="7"/>
      <c r="H78" s="7"/>
      <c r="I78" s="7"/>
    </row>
    <row r="80" spans="2:10" ht="15.6" x14ac:dyDescent="0.3">
      <c r="C80" s="4" t="s">
        <v>31</v>
      </c>
      <c r="D80" s="4" t="s">
        <v>65</v>
      </c>
      <c r="F80" s="15" t="s">
        <v>69</v>
      </c>
    </row>
    <row r="81" spans="2:9" ht="15.6" x14ac:dyDescent="0.3">
      <c r="C81" s="5" t="s">
        <v>35</v>
      </c>
      <c r="D81" s="5">
        <v>55000</v>
      </c>
      <c r="F81" s="15">
        <f>INDEX($D81:$D84, MATCH("E105", $C81:$C84, 0 ))</f>
        <v>72000</v>
      </c>
    </row>
    <row r="82" spans="2:9" x14ac:dyDescent="0.3">
      <c r="C82" s="5" t="s">
        <v>66</v>
      </c>
      <c r="D82" s="5">
        <v>72000</v>
      </c>
      <c r="E82" s="22" t="s">
        <v>70</v>
      </c>
      <c r="F82" s="12"/>
      <c r="G82" s="12"/>
      <c r="H82" s="12"/>
    </row>
    <row r="83" spans="2:9" x14ac:dyDescent="0.3">
      <c r="C83" s="5" t="s">
        <v>63</v>
      </c>
      <c r="D83" s="5">
        <v>62000</v>
      </c>
      <c r="E83" s="22"/>
      <c r="F83" s="12"/>
      <c r="G83" s="12"/>
      <c r="H83" s="12"/>
    </row>
    <row r="84" spans="2:9" x14ac:dyDescent="0.3">
      <c r="C84" s="5" t="s">
        <v>33</v>
      </c>
      <c r="D84" s="5">
        <v>41000</v>
      </c>
      <c r="E84" s="22"/>
      <c r="F84" s="12"/>
      <c r="G84" s="12"/>
      <c r="H84" s="12"/>
    </row>
    <row r="85" spans="2:9" x14ac:dyDescent="0.3">
      <c r="C85" s="21"/>
      <c r="D85" s="21"/>
    </row>
    <row r="86" spans="2:9" x14ac:dyDescent="0.3">
      <c r="C86" s="21"/>
      <c r="D86" s="21"/>
    </row>
    <row r="88" spans="2:9" ht="14.4" customHeight="1" x14ac:dyDescent="0.3">
      <c r="B88" s="7" t="s">
        <v>68</v>
      </c>
      <c r="C88" s="7"/>
      <c r="D88" s="7"/>
      <c r="E88" s="7"/>
      <c r="F88" s="7"/>
      <c r="G88" s="7"/>
      <c r="H88" s="7"/>
      <c r="I88" s="7"/>
    </row>
    <row r="89" spans="2:9" ht="14.4" customHeight="1" x14ac:dyDescent="0.3">
      <c r="B89" s="7"/>
      <c r="C89" s="7"/>
      <c r="D89" s="7"/>
      <c r="E89" s="7"/>
      <c r="F89" s="7"/>
      <c r="G89" s="7"/>
      <c r="H89" s="7"/>
      <c r="I89" s="7"/>
    </row>
    <row r="91" spans="2:9" ht="15.6" x14ac:dyDescent="0.3">
      <c r="C91" s="4" t="s">
        <v>31</v>
      </c>
      <c r="D91" s="4" t="s">
        <v>65</v>
      </c>
      <c r="F91" s="23"/>
    </row>
    <row r="92" spans="2:9" ht="15.6" x14ac:dyDescent="0.3">
      <c r="C92" s="5" t="s">
        <v>32</v>
      </c>
      <c r="D92" s="5" t="s">
        <v>41</v>
      </c>
      <c r="E92" s="16" t="s">
        <v>72</v>
      </c>
      <c r="F92" s="16" t="str">
        <f>_xlfn.XLOOKUP("E303", C92:C95, D92:D95)</f>
        <v>IT</v>
      </c>
    </row>
    <row r="93" spans="2:9" x14ac:dyDescent="0.3">
      <c r="C93" s="5" t="s">
        <v>62</v>
      </c>
      <c r="D93" s="5" t="s">
        <v>40</v>
      </c>
    </row>
    <row r="94" spans="2:9" x14ac:dyDescent="0.3">
      <c r="C94" s="5" t="s">
        <v>63</v>
      </c>
      <c r="D94" s="5" t="s">
        <v>17</v>
      </c>
      <c r="E94" s="13" t="s">
        <v>71</v>
      </c>
      <c r="F94" s="13"/>
      <c r="G94" s="13"/>
      <c r="H94" s="13"/>
      <c r="I94" s="13"/>
    </row>
    <row r="95" spans="2:9" x14ac:dyDescent="0.3">
      <c r="C95" s="5" t="s">
        <v>64</v>
      </c>
      <c r="D95" s="5" t="s">
        <v>42</v>
      </c>
      <c r="E95" s="13"/>
      <c r="F95" s="13"/>
      <c r="G95" s="13"/>
      <c r="H95" s="13"/>
      <c r="I95" s="13"/>
    </row>
  </sheetData>
  <mergeCells count="22">
    <mergeCell ref="B88:I89"/>
    <mergeCell ref="B77:I78"/>
    <mergeCell ref="E82:H84"/>
    <mergeCell ref="E94:I95"/>
    <mergeCell ref="B65:J66"/>
    <mergeCell ref="B73:J73"/>
    <mergeCell ref="B74:J74"/>
    <mergeCell ref="B75:J75"/>
    <mergeCell ref="H68:J71"/>
    <mergeCell ref="F44:I46"/>
    <mergeCell ref="B48:I51"/>
    <mergeCell ref="B55:J56"/>
    <mergeCell ref="B53:J54"/>
    <mergeCell ref="F60:J62"/>
    <mergeCell ref="B29:H29"/>
    <mergeCell ref="B28:H28"/>
    <mergeCell ref="E31:I34"/>
    <mergeCell ref="B38:I40"/>
    <mergeCell ref="B5:K7"/>
    <mergeCell ref="E9:G11"/>
    <mergeCell ref="B17:K19"/>
    <mergeCell ref="F21:I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DURGATINASHINEE</dc:creator>
  <cp:lastModifiedBy>D DURGATINASHINEE</cp:lastModifiedBy>
  <dcterms:created xsi:type="dcterms:W3CDTF">2025-12-16T05:44:25Z</dcterms:created>
  <dcterms:modified xsi:type="dcterms:W3CDTF">2025-12-16T07:18:41Z</dcterms:modified>
</cp:coreProperties>
</file>